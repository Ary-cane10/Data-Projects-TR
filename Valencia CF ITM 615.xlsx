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artansut-my.sharepoint.com/personal/luis_rosado_spartans_ut_edu/Documents/Documents/ITM 615/"/>
    </mc:Choice>
  </mc:AlternateContent>
  <xr:revisionPtr revIDLastSave="1634" documentId="8_{17504085-0F3B-455C-BA37-FE59677D1426}" xr6:coauthVersionLast="47" xr6:coauthVersionMax="47" xr10:uidLastSave="{2A6A8B16-1953-43CB-8E32-4770556FD147}"/>
  <bookViews>
    <workbookView xWindow="-12180" yWindow="13632" windowWidth="21672" windowHeight="12720" activeTab="1" xr2:uid="{2D9B7BEB-1286-4963-860E-57FAC36F8DD4}"/>
  </bookViews>
  <sheets>
    <sheet name="Last 36 Seasons" sheetId="55" r:id="rId1"/>
    <sheet name="Logistic Results" sheetId="61" r:id="rId2"/>
    <sheet name="All Teams" sheetId="54" r:id="rId3"/>
    <sheet name="Val 2014-15" sheetId="58" r:id="rId4"/>
    <sheet name="Val 2015-16" sheetId="57" r:id="rId5"/>
    <sheet name="Val 2016-17" sheetId="56" r:id="rId6"/>
    <sheet name="Val 2017-18" sheetId="51" r:id="rId7"/>
    <sheet name="Val 2018-19" sheetId="12" r:id="rId8"/>
    <sheet name="Val 2019-20" sheetId="50" r:id="rId9"/>
    <sheet name="Val 2020-21" sheetId="49" r:id="rId10"/>
    <sheet name="Val 2021-22" sheetId="53" r:id="rId11"/>
    <sheet name="Val 2022-23" sheetId="52" r:id="rId12"/>
    <sheet name="Val 2023-24" sheetId="11" r:id="rId13"/>
    <sheet name="Val 2024-25" sheetId="38" r:id="rId14"/>
    <sheet name="Sevilla 17-18" sheetId="13" r:id="rId15"/>
    <sheet name="Sevilla 18-19" sheetId="14" r:id="rId16"/>
    <sheet name="Sevilla 19-20" sheetId="15" r:id="rId17"/>
    <sheet name="Sevilla 20-21" sheetId="16" r:id="rId18"/>
    <sheet name="Sevilla 21-22" sheetId="17" r:id="rId19"/>
    <sheet name="Sevilla 22-23" sheetId="18" r:id="rId20"/>
    <sheet name="Sevilla 23-24" sheetId="19" r:id="rId21"/>
    <sheet name="Sevilla 24-25" sheetId="37" r:id="rId22"/>
    <sheet name="EF 17-18" sheetId="20" r:id="rId23"/>
    <sheet name="EF 18-19" sheetId="21" r:id="rId24"/>
    <sheet name="EF 19-20" sheetId="22" r:id="rId25"/>
    <sheet name="EF 20-21" sheetId="23" r:id="rId26"/>
    <sheet name="EF 21-22" sheetId="24" r:id="rId27"/>
    <sheet name="EF 22-23" sheetId="25" r:id="rId28"/>
    <sheet name="EF 23-24" sheetId="26" r:id="rId29"/>
    <sheet name="EF 24-25" sheetId="29" r:id="rId30"/>
    <sheet name="Lille 17-18" sheetId="28" r:id="rId31"/>
    <sheet name="Lille 18-19" sheetId="27" r:id="rId32"/>
    <sheet name="Lille 19-20" sheetId="30" r:id="rId33"/>
    <sheet name="Lille 20-21" sheetId="31" r:id="rId34"/>
    <sheet name="Lille 21-22" sheetId="32" r:id="rId35"/>
    <sheet name="Lille 22-23" sheetId="33" r:id="rId36"/>
    <sheet name="Lille 23-24" sheetId="34" r:id="rId37"/>
    <sheet name="Lille 24-25" sheetId="35" r:id="rId38"/>
    <sheet name="RS 2017-18" sheetId="39" r:id="rId39"/>
    <sheet name="RS 2018-24" sheetId="40" r:id="rId40"/>
    <sheet name="RS 2019-20" sheetId="41" r:id="rId41"/>
    <sheet name="RS 2020-21" sheetId="42" r:id="rId42"/>
    <sheet name="RS 2021-22" sheetId="43" r:id="rId43"/>
    <sheet name="RS 2022-23" sheetId="44" r:id="rId44"/>
    <sheet name="RS 2023-24" sheetId="45" r:id="rId45"/>
    <sheet name="RS 2024-25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" i="55" l="1"/>
  <c r="L41" i="55"/>
  <c r="K48" i="58"/>
  <c r="K65" i="57"/>
  <c r="K46" i="56"/>
  <c r="K53" i="51"/>
  <c r="H119" i="51"/>
  <c r="L27" i="39"/>
  <c r="L26" i="39"/>
  <c r="L25" i="39"/>
  <c r="L24" i="39"/>
  <c r="L23" i="39"/>
  <c r="L22" i="39"/>
  <c r="L21" i="39"/>
  <c r="L20" i="39"/>
  <c r="L19" i="39"/>
  <c r="L18" i="39"/>
  <c r="L17" i="39"/>
  <c r="L16" i="39"/>
  <c r="L15" i="39"/>
  <c r="L14" i="39"/>
  <c r="L13" i="39"/>
  <c r="L12" i="39"/>
  <c r="L11" i="39"/>
  <c r="L10" i="39"/>
  <c r="L9" i="39"/>
  <c r="L8" i="39"/>
  <c r="M27" i="39"/>
  <c r="M26" i="39"/>
  <c r="M25" i="39"/>
  <c r="M24" i="39"/>
  <c r="M23" i="39"/>
  <c r="M22" i="39"/>
  <c r="M21" i="39"/>
  <c r="M20" i="39"/>
  <c r="M19" i="39"/>
  <c r="M18" i="39"/>
  <c r="M17" i="39"/>
  <c r="M16" i="39"/>
  <c r="M15" i="39"/>
  <c r="M14" i="39"/>
  <c r="M13" i="39"/>
  <c r="M12" i="39"/>
  <c r="M11" i="39"/>
  <c r="M10" i="39"/>
  <c r="M9" i="39"/>
  <c r="M8" i="39"/>
  <c r="L8" i="41"/>
</calcChain>
</file>

<file path=xl/sharedStrings.xml><?xml version="1.0" encoding="utf-8"?>
<sst xmlns="http://schemas.openxmlformats.org/spreadsheetml/2006/main" count="14412" uniqueCount="1370">
  <si>
    <t>Date</t>
  </si>
  <si>
    <t>Time</t>
  </si>
  <si>
    <t>Sevilla</t>
  </si>
  <si>
    <t>Valencia</t>
  </si>
  <si>
    <t>D</t>
  </si>
  <si>
    <t>Girona</t>
  </si>
  <si>
    <t>Las Palmas</t>
  </si>
  <si>
    <t>Mallorca</t>
  </si>
  <si>
    <t>Real Madrid</t>
  </si>
  <si>
    <t>Osasuna</t>
  </si>
  <si>
    <t>Villarreal</t>
  </si>
  <si>
    <t>Betis</t>
  </si>
  <si>
    <t>Getafe</t>
  </si>
  <si>
    <t>Barcelona</t>
  </si>
  <si>
    <t>Granada</t>
  </si>
  <si>
    <t>Squad</t>
  </si>
  <si>
    <t>Comp</t>
  </si>
  <si>
    <t>MP</t>
  </si>
  <si>
    <t>W</t>
  </si>
  <si>
    <t>L</t>
  </si>
  <si>
    <t>GF</t>
  </si>
  <si>
    <t>GA</t>
  </si>
  <si>
    <t>GD</t>
  </si>
  <si>
    <t>Pts</t>
  </si>
  <si>
    <t>Attendance</t>
  </si>
  <si>
    <t>Top Team Scorer</t>
  </si>
  <si>
    <t>Goalkeeper</t>
  </si>
  <si>
    <t>Notes</t>
  </si>
  <si>
    <t>Giorgi Mamardashvili</t>
  </si>
  <si>
    <t>Hugo Duro - 13</t>
  </si>
  <si>
    <t>Carlos Soler - 11</t>
  </si>
  <si>
    <t>Jaume Doménech</t>
  </si>
  <si>
    <t>Maxi Gómez - 10</t>
  </si>
  <si>
    <t>Jasper Cillessen</t>
  </si>
  <si>
    <t>Daniel Parejo - 9</t>
  </si>
  <si>
    <t>Neto</t>
  </si>
  <si>
    <t>→ Champions League via league finish</t>
  </si>
  <si>
    <t>Rodrigo - 16</t>
  </si>
  <si>
    <t>Diego Alves</t>
  </si>
  <si>
    <t>Paco Alcácer - 13</t>
  </si>
  <si>
    <t>→ Europa League via league finish</t>
  </si>
  <si>
    <t>Vicente Guaita</t>
  </si>
  <si>
    <t>Season</t>
  </si>
  <si>
    <t>Home</t>
  </si>
  <si>
    <t>Away</t>
  </si>
  <si>
    <t>Opponent</t>
  </si>
  <si>
    <t>Rayo Vallecano</t>
  </si>
  <si>
    <t>Valladolid</t>
  </si>
  <si>
    <t>Espanyol</t>
  </si>
  <si>
    <t>Real Sociedad</t>
  </si>
  <si>
    <t>Celta Vigo</t>
  </si>
  <si>
    <t>Round</t>
  </si>
  <si>
    <t>Day</t>
  </si>
  <si>
    <t>Venue</t>
  </si>
  <si>
    <t>Result</t>
  </si>
  <si>
    <t>xG</t>
  </si>
  <si>
    <t>xGA</t>
  </si>
  <si>
    <t>Poss</t>
  </si>
  <si>
    <t>La Liga</t>
  </si>
  <si>
    <t>Matchweek 1</t>
  </si>
  <si>
    <t>Fri</t>
  </si>
  <si>
    <t>Matchweek 2</t>
  </si>
  <si>
    <t>Sun</t>
  </si>
  <si>
    <t>Matchweek 3</t>
  </si>
  <si>
    <t>Sat</t>
  </si>
  <si>
    <t>Atlético Madrid</t>
  </si>
  <si>
    <t>Matchweek 4</t>
  </si>
  <si>
    <t>Levante</t>
  </si>
  <si>
    <t>Matchweek 5</t>
  </si>
  <si>
    <t>Tue</t>
  </si>
  <si>
    <t>Málaga</t>
  </si>
  <si>
    <t>Matchweek 6</t>
  </si>
  <si>
    <t>Matchweek 7</t>
  </si>
  <si>
    <t>Athletic Club</t>
  </si>
  <si>
    <t>Matchweek 8</t>
  </si>
  <si>
    <t>Matchweek 9</t>
  </si>
  <si>
    <t>Copa del Rey</t>
  </si>
  <si>
    <t>Round of 32</t>
  </si>
  <si>
    <t>Zaragoza</t>
  </si>
  <si>
    <t>Matchweek 10</t>
  </si>
  <si>
    <t>Alavés</t>
  </si>
  <si>
    <t>Matchweek 11</t>
  </si>
  <si>
    <t>Leganés</t>
  </si>
  <si>
    <t>Matchweek 12</t>
  </si>
  <si>
    <t>Matchweek 13</t>
  </si>
  <si>
    <t>Thu</t>
  </si>
  <si>
    <t>Matchweek 14</t>
  </si>
  <si>
    <t>Matchweek 15</t>
  </si>
  <si>
    <t>Matchweek 16</t>
  </si>
  <si>
    <t>Eibar</t>
  </si>
  <si>
    <t>Matchweek 17</t>
  </si>
  <si>
    <t>Round of 16</t>
  </si>
  <si>
    <t>Wed</t>
  </si>
  <si>
    <t>Matchweek 18</t>
  </si>
  <si>
    <t>Matchweek 19</t>
  </si>
  <si>
    <t>La Coruña</t>
  </si>
  <si>
    <t>Quarter-finals</t>
  </si>
  <si>
    <t>Matchweek 20</t>
  </si>
  <si>
    <t>Matchweek 21</t>
  </si>
  <si>
    <t>Semi-finals</t>
  </si>
  <si>
    <t>Matchweek 22</t>
  </si>
  <si>
    <t>Matchweek 23</t>
  </si>
  <si>
    <t>Matchweek 24</t>
  </si>
  <si>
    <t>Matchweek 25</t>
  </si>
  <si>
    <t>Matchweek 26</t>
  </si>
  <si>
    <t>Matchweek 27</t>
  </si>
  <si>
    <t>Matchweek 28</t>
  </si>
  <si>
    <t>Matchweek 29</t>
  </si>
  <si>
    <t>Matchweek 30</t>
  </si>
  <si>
    <t>Matchweek 31</t>
  </si>
  <si>
    <t>Matchweek 32</t>
  </si>
  <si>
    <t>Matchweek 33</t>
  </si>
  <si>
    <t>Matchweek 34</t>
  </si>
  <si>
    <t>Matchweek 35</t>
  </si>
  <si>
    <t>Matchweek 36</t>
  </si>
  <si>
    <t>Matchweek 37</t>
  </si>
  <si>
    <t>Matchweek 38</t>
  </si>
  <si>
    <t>Mon</t>
  </si>
  <si>
    <t>Champions Lg</t>
  </si>
  <si>
    <t>Group stage</t>
  </si>
  <si>
    <t>Huesca</t>
  </si>
  <si>
    <t>Final</t>
  </si>
  <si>
    <t>Supercopa de España</t>
  </si>
  <si>
    <t>Elche</t>
  </si>
  <si>
    <t>First round</t>
  </si>
  <si>
    <t>Cádiz</t>
  </si>
  <si>
    <t>Second round</t>
  </si>
  <si>
    <t>Cartagena</t>
  </si>
  <si>
    <t>Almería</t>
  </si>
  <si>
    <t>Record: 13-10-15, 49 points (1.29 per game), 9th in La Liga (1st Tier)</t>
  </si>
  <si>
    <t>Home Record: 8-6-5, 30 points Away Record: 5-4-10, 19 points</t>
  </si>
  <si>
    <t>Goals: 40 (1.05 per game), Goals Against: 45 (1.18 per game), Diff: -5</t>
  </si>
  <si>
    <t>xG: 43.1, xGA: 47.6, Diff: -4.5</t>
  </si>
  <si>
    <t>Record: 11-9-18, 42 points (1.11 per game), 16th in La Liga (1st Tier)</t>
  </si>
  <si>
    <t>Home Record: 8-5-6, 29 points Away Record: 3-4-12, 13 points</t>
  </si>
  <si>
    <t>Goals: 42 (1.11 per game), Goals Against: 45 (1.18 per game), Diff: -3</t>
  </si>
  <si>
    <t>xG: 49.3, xGA: 43.5, Diff: 5.8</t>
  </si>
  <si>
    <t>Record: 11-15-12, 48 points (1.26 per game), 9th in La Liga (1st Tier)</t>
  </si>
  <si>
    <t>Home Record: 6-8-5, 26 points Away Record: 5-7-7, 22 points</t>
  </si>
  <si>
    <t>Goals: 48 (1.26 per game), Goals Against: 53 (1.39 per game), Diff: -5</t>
  </si>
  <si>
    <t>xG: 39.0, xGA: 47.7, Diff: -8.7</t>
  </si>
  <si>
    <t>Home Record: 8-7-4, 31 points Away Record: 2-6-11, 12 points</t>
  </si>
  <si>
    <t>Goals: 50 (1.32 per game), Goals Against: 53 (1.39 per game), Diff: -3</t>
  </si>
  <si>
    <t>xG: 42.6, xGA: 52.2, Diff: -9.6</t>
  </si>
  <si>
    <t>Record: 14-11-13, 53 points (1.39 per game), 9th in La Liga (1st Tier)</t>
  </si>
  <si>
    <t>Home Record: 11-7-1, 40 points Away Record: 3-4-12, 13 points</t>
  </si>
  <si>
    <t>Goals: 46 (1.21 per game), Goals Against: 53 (1.39 per game), Diff: -7</t>
  </si>
  <si>
    <t>xG: 43.3, xGA: 56.0, Diff: -12.7</t>
  </si>
  <si>
    <t>Record: 22-7-9, 73 points (1.92 per game), 4th in La Liga (1st Tier)</t>
  </si>
  <si>
    <t>Home Record: 13-3-3, 42 points Away Record: 9-4-6, 31 points</t>
  </si>
  <si>
    <t>Goals: 65 (1.71 per game), Goals Against: 38 (1.00 per game), Diff: 27</t>
  </si>
  <si>
    <t>xG: 56.0, xGA: 48.3, Diff: 7.7</t>
  </si>
  <si>
    <t>22:15 (16:15)</t>
  </si>
  <si>
    <t>16:15 (10:15)</t>
  </si>
  <si>
    <t>13:00 (07:00)</t>
  </si>
  <si>
    <t>20:00 (14:00)</t>
  </si>
  <si>
    <t>20:45 (14:45)</t>
  </si>
  <si>
    <t>18:30 (12:30)</t>
  </si>
  <si>
    <t>20:30 (14:30)</t>
  </si>
  <si>
    <t>13:00 (08:00)</t>
  </si>
  <si>
    <t>21:30 (15:30)</t>
  </si>
  <si>
    <t>20:00 (15:00)</t>
  </si>
  <si>
    <t>19:00 (13:00)</t>
  </si>
  <si>
    <t>19:45 (14:45)</t>
  </si>
  <si>
    <t>1 (3)</t>
  </si>
  <si>
    <t>2 (2)</t>
  </si>
  <si>
    <t>19:30 (13:30)</t>
  </si>
  <si>
    <t>16:15 (11:15)</t>
  </si>
  <si>
    <t>12:00 (06:00)</t>
  </si>
  <si>
    <t>0 (4)</t>
  </si>
  <si>
    <t>0 (2)</t>
  </si>
  <si>
    <t>21:45 (14:45)</t>
  </si>
  <si>
    <t>Play-off round</t>
  </si>
  <si>
    <t>tr Başakşehir</t>
  </si>
  <si>
    <t>20:15 (14:15)</t>
  </si>
  <si>
    <t>eng Liverpool</t>
  </si>
  <si>
    <t>22:00 (16:00)</t>
  </si>
  <si>
    <t>si NK Maribor</t>
  </si>
  <si>
    <t>ru Spartak Moscow</t>
  </si>
  <si>
    <t>22:30 (16:30)</t>
  </si>
  <si>
    <t>20:45 (15:45)</t>
  </si>
  <si>
    <t>21:00 (15:00)</t>
  </si>
  <si>
    <t>12:00 (07:00)</t>
  </si>
  <si>
    <t>eng Manchester Utd</t>
  </si>
  <si>
    <t>19:45 (15:45)</t>
  </si>
  <si>
    <t>de Bayern Munich</t>
  </si>
  <si>
    <t>Neutral</t>
  </si>
  <si>
    <t>Record: 17-7-14, 58 points (1.53 per game), 7th in La Liga (1st Tier)</t>
  </si>
  <si>
    <t>Home Record: 11-5-3, 38 points Away Record: 6-2-11, 20 points</t>
  </si>
  <si>
    <t>Goals: 49 (1.29 per game), Goals Against: 58 (1.53 per game), Diff: -9</t>
  </si>
  <si>
    <t>xG: 59.5, xGA: 54.4, Diff: 5.2</t>
  </si>
  <si>
    <t>ate</t>
  </si>
  <si>
    <t>21:45 (15:45)</t>
  </si>
  <si>
    <t>Europa Lg</t>
  </si>
  <si>
    <t>Second qualifying round</t>
  </si>
  <si>
    <t>hu Újpest</t>
  </si>
  <si>
    <t>Third qualifying round</t>
  </si>
  <si>
    <t>lt Žalgiris</t>
  </si>
  <si>
    <t>21:00 (16:00)</t>
  </si>
  <si>
    <t>20:00 (13:00)</t>
  </si>
  <si>
    <t>cz Sigma Olomouc</t>
  </si>
  <si>
    <t>18:55 (12:55)</t>
  </si>
  <si>
    <t>be Standard Liège</t>
  </si>
  <si>
    <t>22:00 (15:00)</t>
  </si>
  <si>
    <t>ru Krasnodar</t>
  </si>
  <si>
    <t>tr Akhisarspor</t>
  </si>
  <si>
    <t>Villanovense</t>
  </si>
  <si>
    <t>20:55 (12:55)</t>
  </si>
  <si>
    <t>it Lazio</t>
  </si>
  <si>
    <t>18:00 (12:00)</t>
  </si>
  <si>
    <t>cz Slavia Prague</t>
  </si>
  <si>
    <t>18:30 (13:30)</t>
  </si>
  <si>
    <t>14:00 (08:00)</t>
  </si>
  <si>
    <t>Record: 17-8-13, 59 points (1.55 per game), 6th in La Liga (1st Tier)</t>
  </si>
  <si>
    <t>Home Record: 12-3-4, 39 points Away Record: 5-5-9, 20 points</t>
  </si>
  <si>
    <t>Goals: 62 (1.63 per game), Goals Against: 47 (1.24 per game), Diff: 15</t>
  </si>
  <si>
    <t>xG: 66.6, xGA: 45.4, Diff: 21.3</t>
  </si>
  <si>
    <t>Record: 19-13-6, 70 points (1.84 per game), 4th in La Liga (1st Tier)</t>
  </si>
  <si>
    <t>Home Record: 10-7-2, 37 points Away Record: 9-6-4, 33 points</t>
  </si>
  <si>
    <t>Goals: 54 (1.42 per game), Goals Against: 34 (0.89 per game), Diff: 20</t>
  </si>
  <si>
    <t>xG: 53.2, xGA: 36.1, Diff: 17.1</t>
  </si>
  <si>
    <t>az Qarabağ</t>
  </si>
  <si>
    <t>cy APOEL</t>
  </si>
  <si>
    <t>lu F91 Dudelange</t>
  </si>
  <si>
    <t>19:00 (14:00)</t>
  </si>
  <si>
    <t>19:55 (12:55)</t>
  </si>
  <si>
    <t>Bergantiños FC</t>
  </si>
  <si>
    <t>UM Escobedo</t>
  </si>
  <si>
    <t>16:00 (10:00)</t>
  </si>
  <si>
    <t>CD Mirandés</t>
  </si>
  <si>
    <t>ro CFR Cluj</t>
  </si>
  <si>
    <t>it Roma</t>
  </si>
  <si>
    <t>eng Wolves</t>
  </si>
  <si>
    <t>it Inter</t>
  </si>
  <si>
    <t>Record: 24-5-9, 77 points (2.03 per game), 4th in La Liga (1st Tier)</t>
  </si>
  <si>
    <t>Home Record: 14-1-4, 43 points Away Record: 10-4-5, 34 points</t>
  </si>
  <si>
    <t>Goals: 53 (1.39 per game), Goals Against: 33 (0.87 per game), Diff: 20</t>
  </si>
  <si>
    <t>xG: 54.4, xGA: 34.8, Diff: 19.6</t>
  </si>
  <si>
    <t>Super Cup</t>
  </si>
  <si>
    <t>UEFA Super Cup</t>
  </si>
  <si>
    <t>eng Chelsea</t>
  </si>
  <si>
    <t>fr Rennes</t>
  </si>
  <si>
    <t>Ciudad de Lucena</t>
  </si>
  <si>
    <t>17:30 (11:30)</t>
  </si>
  <si>
    <t>17:00 (11:00)</t>
  </si>
  <si>
    <t>Linares Dep</t>
  </si>
  <si>
    <t>de Dortmund</t>
  </si>
  <si>
    <t>Record: 18-16-4, 70 points (1.84 per game), 4th in La Liga (1st Tier)</t>
  </si>
  <si>
    <t>Home Record: 12-6-1, 42 points Away Record: 6-10-3, 28 points</t>
  </si>
  <si>
    <t>Goals: 53 (1.39 per game), Goals Against: 30 (0.79 per game), Diff: 23</t>
  </si>
  <si>
    <t>xG: 42.4, xGA: 36.9, Diff: 5.4</t>
  </si>
  <si>
    <t>18:45 (12:45)</t>
  </si>
  <si>
    <t>at RB Salzburg</t>
  </si>
  <si>
    <t>de Wolfsburg</t>
  </si>
  <si>
    <t>fr Lille</t>
  </si>
  <si>
    <t>Córdoba</t>
  </si>
  <si>
    <t>1 (6)</t>
  </si>
  <si>
    <t>1 (5)</t>
  </si>
  <si>
    <t>Andratx</t>
  </si>
  <si>
    <t>21:15 (15:15)</t>
  </si>
  <si>
    <t>Knockout round play-offs</t>
  </si>
  <si>
    <t>hr Dinamo Zagreb</t>
  </si>
  <si>
    <t>eng West Ham</t>
  </si>
  <si>
    <t>14:00 (09:00)</t>
  </si>
  <si>
    <t>20:00 (16:00)</t>
  </si>
  <si>
    <t>Record: 13-10-15, 49 points (1.29 per game), 12th in La Liga (1st Tier)</t>
  </si>
  <si>
    <t>Home Record: 7-5-7, 26 points Away Record: 6-5-8, 23 points</t>
  </si>
  <si>
    <t>Goals: 47 (1.24 per game), Goals Against: 54 (1.42 per game), Diff: -7</t>
  </si>
  <si>
    <t>xG: 46.3, xGA: 54.2, Diff: -7.9</t>
  </si>
  <si>
    <t>eng Manchester City</t>
  </si>
  <si>
    <t>dk FC Copenhagen</t>
  </si>
  <si>
    <t>Velarde CF</t>
  </si>
  <si>
    <t>Juventud Torremolinos CF</t>
  </si>
  <si>
    <t>19:15 (13:15)</t>
  </si>
  <si>
    <t>nl PSV Eindhoven</t>
  </si>
  <si>
    <t>tr Fenerbahçe</t>
  </si>
  <si>
    <t>20:45 (13:45)</t>
  </si>
  <si>
    <t>it Juventus</t>
  </si>
  <si>
    <t>1 (4)</t>
  </si>
  <si>
    <t>1 (1)</t>
  </si>
  <si>
    <t>Includes all matches from 2022-07-01 to 2023-06-30</t>
  </si>
  <si>
    <t>Record: 10-11-17, 41 points (1.08 per game), 14th in La Liga (1st Tier)</t>
  </si>
  <si>
    <t>Home Record: 6-5-8, 23 points Away Record: 4-6-9, 18 points</t>
  </si>
  <si>
    <t>Goals: 48 (1.26 per game), Goals Against: 54 (1.42 per game), Diff: -6</t>
  </si>
  <si>
    <t>xG: 44.9, xGA: 55.9, Diff: -11.0</t>
  </si>
  <si>
    <t>fr Lens</t>
  </si>
  <si>
    <t>eng Arsenal</t>
  </si>
  <si>
    <t>15:30 (10:30)</t>
  </si>
  <si>
    <t>Quintanar</t>
  </si>
  <si>
    <t>Atlético Astorga</t>
  </si>
  <si>
    <t>Racing Ferrol</t>
  </si>
  <si>
    <t>Includes all matches from 2023-07-01 to 2024-06-30</t>
  </si>
  <si>
    <t>Record: 15-16-7, 61 points (1.61 per game), 4th in La Liga (1st Tier)</t>
  </si>
  <si>
    <t>Home Record: 7-10-2, 31 points Away Record: 8-6-5, 30 points</t>
  </si>
  <si>
    <t>Goals: 51 (1.34 per game), Goals Against: 35 (0.92 per game), Diff: 16</t>
  </si>
  <si>
    <t>xG: 60.7, xGA: 42.9, Diff: 17.8</t>
  </si>
  <si>
    <t>18:15 (12:15)</t>
  </si>
  <si>
    <t>sct Celtic</t>
  </si>
  <si>
    <t>Includes all matches from 2018-07-01 to 2019-06-30</t>
  </si>
  <si>
    <t>Record: 11-14-9, 47 points (1.38 per game), 6th in Bundesliga (1st Tier)</t>
  </si>
  <si>
    <t>Home Record: 7-8-2, 29 points Away Record: 4-6-7, 18 points</t>
  </si>
  <si>
    <t>Goals: 51 (1.50 per game), Goals Against: 50 (1.47 per game), Diff: 1</t>
  </si>
  <si>
    <t>xG: 46.2, xGA: 52.1, Diff: -5.9</t>
  </si>
  <si>
    <t>15:30 (09:30)</t>
  </si>
  <si>
    <t>DFB-Pokal</t>
  </si>
  <si>
    <t>Round of 64</t>
  </si>
  <si>
    <t>Loko Leipzig</t>
  </si>
  <si>
    <t>Bundesliga</t>
  </si>
  <si>
    <t>Darmstadt 98</t>
  </si>
  <si>
    <t>Conf Lg</t>
  </si>
  <si>
    <t>bg Levski Sofia</t>
  </si>
  <si>
    <t>Mainz 05</t>
  </si>
  <si>
    <t>Köln</t>
  </si>
  <si>
    <t>Bochum</t>
  </si>
  <si>
    <t>sct Aberdeen</t>
  </si>
  <si>
    <t>Freiburg</t>
  </si>
  <si>
    <t>Wolfsburg</t>
  </si>
  <si>
    <t>gr PAOK</t>
  </si>
  <si>
    <t>Heidenheim</t>
  </si>
  <si>
    <t>Hoffenheim</t>
  </si>
  <si>
    <t>fi HJK</t>
  </si>
  <si>
    <t>Dortmund</t>
  </si>
  <si>
    <t>Viktoria Köln</t>
  </si>
  <si>
    <t>Union Berlin</t>
  </si>
  <si>
    <t>19:45 (12:45)</t>
  </si>
  <si>
    <t>Werder Bremen</t>
  </si>
  <si>
    <t>Stuttgart</t>
  </si>
  <si>
    <t>Augsburg</t>
  </si>
  <si>
    <t>Saarbrücken</t>
  </si>
  <si>
    <t>Bayern Munich</t>
  </si>
  <si>
    <t>17:45 (12:45)</t>
  </si>
  <si>
    <t>Leverkusen</t>
  </si>
  <si>
    <t>Gladbach</t>
  </si>
  <si>
    <t>RB Leipzig</t>
  </si>
  <si>
    <t>be Union SG</t>
  </si>
  <si>
    <t>17:30 (12:30)</t>
  </si>
  <si>
    <t>Record: 13-11-10, 50 points (1.47 per game), 7th in Bundesliga (1st Tier)</t>
  </si>
  <si>
    <t>Home Record: 9-5-3, 32 points Away Record: 4-6-7, 18 points</t>
  </si>
  <si>
    <t>Goals: 58 (1.71 per game), Goals Against: 52 (1.53 per game), Diff: 6</t>
  </si>
  <si>
    <t>xG: 52.1, xGA: 43.5, Diff: 8.6</t>
  </si>
  <si>
    <t>20:46 (14:46)</t>
  </si>
  <si>
    <t>Magdeburg</t>
  </si>
  <si>
    <t>es Real Madrid</t>
  </si>
  <si>
    <t>Hertha BSC</t>
  </si>
  <si>
    <t>pt Sporting CP</t>
  </si>
  <si>
    <t>fr Marseille</t>
  </si>
  <si>
    <t>eng Tottenham</t>
  </si>
  <si>
    <t>S'gart Kickers</t>
  </si>
  <si>
    <t>Schalke 04</t>
  </si>
  <si>
    <t>it Napoli</t>
  </si>
  <si>
    <t>ecord: 10-12-12, 42 points (1.24 per game), 11th in Bundesliga (1st Tier)</t>
  </si>
  <si>
    <t>Home Record: 4-7-6, 19 points Away Record: 6-5-6, 23 points</t>
  </si>
  <si>
    <t>Goals: 45 (1.32 per game), Goals Against: 49 (1.44 per game), Diff: -4</t>
  </si>
  <si>
    <t>xG: 41.6, xGA: 47.0, Diff: -5.4</t>
  </si>
  <si>
    <t>SV Waldhof</t>
  </si>
  <si>
    <t>Arminia</t>
  </si>
  <si>
    <t>be Antwerp</t>
  </si>
  <si>
    <t>gr Olympiacos</t>
  </si>
  <si>
    <t>19:45 (13:45)</t>
  </si>
  <si>
    <t>Greuther Fürth</t>
  </si>
  <si>
    <t>20:45 (12:45)</t>
  </si>
  <si>
    <t>es Betis</t>
  </si>
  <si>
    <t>es Barcelona</t>
  </si>
  <si>
    <t>sct Rangers</t>
  </si>
  <si>
    <t>Includes all matches from 2021-07-01 to 2022-06-30</t>
  </si>
  <si>
    <t>Record: 16-12-6, 60 points (1.76 per game), 5th in Bundesliga (1st Tier)</t>
  </si>
  <si>
    <t>Home Record: 10-7-0, 37 points Away Record: 6-5-6, 23 points</t>
  </si>
  <si>
    <t>Goals: 69 (2.03 per game), Goals Against: 53 (1.56 per game), Diff: 16</t>
  </si>
  <si>
    <t>xG: 58.5, xGA: 46.9, Diff: 11.6</t>
  </si>
  <si>
    <t>1860 Munich</t>
  </si>
  <si>
    <t>Includes all matches from 2020-07-01 to 2021-06-30</t>
  </si>
  <si>
    <t>Record: 13-6-15, 45 points (1.32 per game), 9th in Bundesliga (1st Tier)</t>
  </si>
  <si>
    <t>Home Record: 8-4-5, 28 points Away Record: 5-2-10, 17 points</t>
  </si>
  <si>
    <t>Goals: 59 (1.74 per game), Goals Against: 60 (1.76 per game), Diff: -1</t>
  </si>
  <si>
    <t>xG: 59.5, xGA: 49.9, Diff: 9.6</t>
  </si>
  <si>
    <t>ee Flora</t>
  </si>
  <si>
    <t>li Vaduz</t>
  </si>
  <si>
    <t>fr Strasbourg</t>
  </si>
  <si>
    <t>Düsseldorf</t>
  </si>
  <si>
    <t>pt Vitória</t>
  </si>
  <si>
    <t>18:00 (13:00)</t>
  </si>
  <si>
    <t>St. Pauli</t>
  </si>
  <si>
    <t>Paderborn 07</t>
  </si>
  <si>
    <t>18:55 (13:55)</t>
  </si>
  <si>
    <t>ch Basel</t>
  </si>
  <si>
    <t>Includes all matches from 2019-07-01 to 2020-06-30</t>
  </si>
  <si>
    <t>Record: 15-9-10, 54 points (1.59 per game), 7th in Bundesliga (1st Tier)</t>
  </si>
  <si>
    <t>Home Record: 8-4-5, 28 points Away Record: 7-5-5, 26 points</t>
  </si>
  <si>
    <t>Goals: 60 (1.76 per game), Goals Against: 48 (1.41 per game), Diff: 12</t>
  </si>
  <si>
    <t>xG: 57.2, xGA: 50.7, Diff: 6.6</t>
  </si>
  <si>
    <t>DFL-Supercup</t>
  </si>
  <si>
    <t>Ulm</t>
  </si>
  <si>
    <t>Hannover 96</t>
  </si>
  <si>
    <t>cy Apollon</t>
  </si>
  <si>
    <t>13:30 (08:30)</t>
  </si>
  <si>
    <t>Nürnberg</t>
  </si>
  <si>
    <t>20:30 (15:30)</t>
  </si>
  <si>
    <t>ua Shakhtar</t>
  </si>
  <si>
    <t>pt Benfica</t>
  </si>
  <si>
    <t>Record: 14-7-13, 49 points (1.44 per game), 8th in Bundesliga (1st Tier)</t>
  </si>
  <si>
    <t>Home Record: 8-4-5, 28 points Away Record: 6-3-8, 21 points</t>
  </si>
  <si>
    <t>Goals: 45 (1.32 per game), Goals Against: 45 (1.32 per game), Diff: 0</t>
  </si>
  <si>
    <t>xG: 42.2, xGA: 41.7, Diff: 0.5</t>
  </si>
  <si>
    <t>Erndtebrück</t>
  </si>
  <si>
    <t>Schweinfurt 05</t>
  </si>
  <si>
    <t>Hamburger SV</t>
  </si>
  <si>
    <t>Includes all matches from 2017-07-01 to 2018-06-30</t>
  </si>
  <si>
    <t>Record: 10-8-20, 38 points (1.00 per game), 17th in Ligue 1 (1st Tier)</t>
  </si>
  <si>
    <t>Home Record: 6-6-7, 24 points Away Record: 4-2-13, 14 points</t>
  </si>
  <si>
    <t>Goals: 41 (1.08 per game), Goals Against: 67 (1.76 per game), Diff: -26</t>
  </si>
  <si>
    <t>xG: 36.4, xGA: 57.9, Diff: -21.5</t>
  </si>
  <si>
    <t>15:00 (09:00)</t>
  </si>
  <si>
    <t>Ligue 1</t>
  </si>
  <si>
    <t>Nantes</t>
  </si>
  <si>
    <t>Strasbourg</t>
  </si>
  <si>
    <t>Caen</t>
  </si>
  <si>
    <t>Angers</t>
  </si>
  <si>
    <t>Bordeaux</t>
  </si>
  <si>
    <t>Guingamp</t>
  </si>
  <si>
    <t>Monaco</t>
  </si>
  <si>
    <t>Troyes</t>
  </si>
  <si>
    <t>Rennes</t>
  </si>
  <si>
    <t>Coupe de la Ligue</t>
  </si>
  <si>
    <t>Third round</t>
  </si>
  <si>
    <t>2 (5)</t>
  </si>
  <si>
    <t>2 (4)</t>
  </si>
  <si>
    <t>Valenciennes</t>
  </si>
  <si>
    <t>Marseille</t>
  </si>
  <si>
    <t>Metz</t>
  </si>
  <si>
    <t>Saint-Étienne</t>
  </si>
  <si>
    <t>Amiens</t>
  </si>
  <si>
    <t>Montpellier</t>
  </si>
  <si>
    <t>Lyon</t>
  </si>
  <si>
    <t>Toulouse</t>
  </si>
  <si>
    <t>Paris S-G</t>
  </si>
  <si>
    <t>21:05 (15:05)</t>
  </si>
  <si>
    <t>1 (2)</t>
  </si>
  <si>
    <t>Nice</t>
  </si>
  <si>
    <t>Dijon</t>
  </si>
  <si>
    <t>20:50 (14:50)</t>
  </si>
  <si>
    <t>Coupe de France</t>
  </si>
  <si>
    <t>Le Mans</t>
  </si>
  <si>
    <t>Record: 22-9-7, 75 points (1.97 per game), 2nd in Ligue 1 (1st Tier)</t>
  </si>
  <si>
    <t>Home Record: 13-4-2, 43 points Away Record: 9-5-5, 32 points</t>
  </si>
  <si>
    <t>Goals: 68 (1.79 per game), Goals Against: 33 (0.87 per game), Diff: 35</t>
  </si>
  <si>
    <t>xG: 59.5, xGA: 42.1, Diff: 17.4</t>
  </si>
  <si>
    <t>21:05 (16:05)</t>
  </si>
  <si>
    <t>Reims</t>
  </si>
  <si>
    <t>Nîmes</t>
  </si>
  <si>
    <t>20:55 (14:55)</t>
  </si>
  <si>
    <t>Sochaux</t>
  </si>
  <si>
    <t>Sète</t>
  </si>
  <si>
    <t>15:00 (10:00)</t>
  </si>
  <si>
    <t>Record: 15-4-9, 49 points (1.75 per game), 4th in Ligue 1 (1st Tier)</t>
  </si>
  <si>
    <t>Home Record: 11-2-2, 35 points Away Record: 4-2-7, 14 points</t>
  </si>
  <si>
    <t>Goals: 35 (1.25 per game), Goals Against: 27 (0.96 per game), Diff: 8</t>
  </si>
  <si>
    <t>xG: 40.3, xGA: 31.4, Diff: 8.8</t>
  </si>
  <si>
    <t>nl Ajax</t>
  </si>
  <si>
    <t>es Valencia</t>
  </si>
  <si>
    <t>Brest</t>
  </si>
  <si>
    <t>14:15 (08:15)</t>
  </si>
  <si>
    <t>US Raon</t>
  </si>
  <si>
    <t>Gonfreville</t>
  </si>
  <si>
    <t>21:10 (15:10)</t>
  </si>
  <si>
    <t>2 (3)</t>
  </si>
  <si>
    <t>Épinal</t>
  </si>
  <si>
    <t>Record: 24-11-3, 83 points (2.18 per game), 1st in Ligue 1 (1st Tier)</t>
  </si>
  <si>
    <t>Home Record: 10-7-2, 37 points Away Record: 14-4-1, 46 points</t>
  </si>
  <si>
    <t>Goals: 64 (1.68 per game), Goals Against: 23 (0.61 per game), Diff: 41</t>
  </si>
  <si>
    <t>xG: 48.5, xGA: 29.8, Diff: 18.7</t>
  </si>
  <si>
    <t>Lens</t>
  </si>
  <si>
    <t>cz Sparta Prague</t>
  </si>
  <si>
    <t>17:00 (12:00)</t>
  </si>
  <si>
    <t>it Milan</t>
  </si>
  <si>
    <t>Lorient</t>
  </si>
  <si>
    <t>Gazélec Ajaccio</t>
  </si>
  <si>
    <t>17:05 (12:05)</t>
  </si>
  <si>
    <t>Record: 14-13-11, 55 points (1.45 per game), 10th in Ligue 1 (1st Tier)</t>
  </si>
  <si>
    <t>Home Record: 7-8-4, 29 points Away Record: 7-5-7, 26 points</t>
  </si>
  <si>
    <t>Goals: 48 (1.26 per game), Goals Against: 48 (1.26 per game), Diff: 0</t>
  </si>
  <si>
    <t>xG: 50.5, xGA: 39.9, Diff: 10.6</t>
  </si>
  <si>
    <t>21:00 (14:00)</t>
  </si>
  <si>
    <t>Trophée des Champions</t>
  </si>
  <si>
    <t>Clermont Foot</t>
  </si>
  <si>
    <t>es Sevilla</t>
  </si>
  <si>
    <t>Auxerre</t>
  </si>
  <si>
    <t>17:05 (11:05)</t>
  </si>
  <si>
    <t>Home Record: 13-4-2, 43 points Away Record: 6-6-7, 24 points</t>
  </si>
  <si>
    <t>Goals: 65 (1.71 per game), Goals Against: 44 (1.16 per game), Diff: 21</t>
  </si>
  <si>
    <t>xG: 68.7, xGA: 40.5, Diff: 28.2</t>
  </si>
  <si>
    <t>Record: 19-10-9, 67 points (1.76 per game), 5th in Ligue 1 (1st Tier)</t>
  </si>
  <si>
    <t>Ajaccio</t>
  </si>
  <si>
    <t>Pau FC</t>
  </si>
  <si>
    <t>Record: 16-11-7, 59 points (1.74 per game), 4th in Ligue 1 (1st Tier)</t>
  </si>
  <si>
    <t>Home Record: 11-4-2, 37 points Away Record: 5-7-5, 22 points</t>
  </si>
  <si>
    <t>Goals: 52 (1.53 per game), Goals Against: 34 (1.00 per game), Diff: 18</t>
  </si>
  <si>
    <t>xG: 48.6, xGA: 36.5, Diff: 12.2</t>
  </si>
  <si>
    <t>hr Rijeka</t>
  </si>
  <si>
    <t>16:30 (10:30)</t>
  </si>
  <si>
    <t>si Olimpija</t>
  </si>
  <si>
    <t>Le Havre</t>
  </si>
  <si>
    <t>fo KÍ</t>
  </si>
  <si>
    <t>sk Slovan Bratislava</t>
  </si>
  <si>
    <t>Golden Lion de Saint-Joseph</t>
  </si>
  <si>
    <t>RCFF Colombes 92</t>
  </si>
  <si>
    <t>at Sturm Graz</t>
  </si>
  <si>
    <t>eng Aston Villa</t>
  </si>
  <si>
    <t>Record: 6-4-2, 22 points (1.83 per game), 4th in Ligue 1 (1st Tier)</t>
  </si>
  <si>
    <t>Home Record: 3-2-1, 11 points Away Record: 3-2-1, 11 points</t>
  </si>
  <si>
    <t>Goals: 19 (1.58 per game), Goals Against: 11 (0.92 per game), Diff: 8</t>
  </si>
  <si>
    <t>xG: 18.7, xGA: 15.0, Diff: 3.7</t>
  </si>
  <si>
    <t>League phase</t>
  </si>
  <si>
    <t>es Atlético Madrid</t>
  </si>
  <si>
    <t>it</t>
  </si>
  <si>
    <t>Record: 7-2-2, 23 points (2.09 per game), 2nd in Bundesliga (1st Tier)</t>
  </si>
  <si>
    <t>Home Record: 4-1-0, 13 points Away Record: 3-1-2, 10 points</t>
  </si>
  <si>
    <t>Goals: 27 (2.45 per game), Goals Against: 16 (1.45 per game), Diff: 11</t>
  </si>
  <si>
    <t>xG: 21.7, xGA: 19.1, Diff: 2.6</t>
  </si>
  <si>
    <t>Braunschweig</t>
  </si>
  <si>
    <t>cz Viktoria Plzeň</t>
  </si>
  <si>
    <t>Holstein Kiel</t>
  </si>
  <si>
    <t>tr Beşiktaş</t>
  </si>
  <si>
    <t>lv FK Rīgas FS</t>
  </si>
  <si>
    <t>dk Midtjylland</t>
  </si>
  <si>
    <t>ecord: 5-3-6, 18 points (1.29 per game), 12th in La Liga (1st Tier)</t>
  </si>
  <si>
    <t>Home Record: 4-0-3, 12 points Away Record: 1-3-3, 6 points</t>
  </si>
  <si>
    <t>Goals: 13 (0.93 per game), Goals Against: 18 (1.29 per game), Diff: -5</t>
  </si>
  <si>
    <t>xG: 15.6, xGA: 18.7, Diff: -3.1</t>
  </si>
  <si>
    <t>Las Rozas CF</t>
  </si>
  <si>
    <t>Record: 14-7-17, 49 points (1.29 per game), 12th in La Liga (1st Tier)</t>
  </si>
  <si>
    <t>Home Record: 10-3-6, 33 points Away Record: 4-4-11, 16 points</t>
  </si>
  <si>
    <t>Goals: 66 (1.74 per game), Goals Against: 59 (1.55 per game), Diff: 7</t>
  </si>
  <si>
    <t>xG: 53.7, xGA: 50.5, Diff: 3.1</t>
  </si>
  <si>
    <t>Record: 13-11-14, 50 points (1.32 per game), 9th in La Liga (1st Tier)</t>
  </si>
  <si>
    <t>Home Record: 7-6-6, 27 points Away Record: 6-5-8, 23 points</t>
  </si>
  <si>
    <t>Goals: 45 (1.18 per game), Goals Against: 46 (1.21 per game), Diff: -1</t>
  </si>
  <si>
    <t>xG: 49.7, xGA: 48.6, Diff: 1.1</t>
  </si>
  <si>
    <t>Record: 16-8-14, 56 points (1.47 per game), 6th in La Liga (1st Tier)</t>
  </si>
  <si>
    <t>Home Record: 9-4-6, 31 points Away Record: 7-4-8, 25 points</t>
  </si>
  <si>
    <t>Goals: 56 (1.47 per game), Goals Against: 48 (1.26 per game), Diff: 8</t>
  </si>
  <si>
    <t>xG: 48.9, xGA: 43.0, Diff: 5.8</t>
  </si>
  <si>
    <t>Record: 17-11-10, 62 points (1.63 per game), 5th in La Liga (1st Tier)</t>
  </si>
  <si>
    <t>Home Record: 9-6-4, 33 points Away Record: 8-5-6, 29 points</t>
  </si>
  <si>
    <t>Goals: 59 (1.55 per game), Goals Against: 38 (1.00 per game), Diff: 21</t>
  </si>
  <si>
    <t>xG: 60.7, xGA: 39.2, Diff: 21.5</t>
  </si>
  <si>
    <t>Record: 17-11-10, 62 points (1.63 per game), 6th in La Liga (1st Tier)</t>
  </si>
  <si>
    <t>Home Record: 10-5-4, 35 points Away Record: 7-6-6, 27 points</t>
  </si>
  <si>
    <t>Goals: 40 (1.05 per game), Goals Against: 37 (0.97 per game), Diff: 3</t>
  </si>
  <si>
    <t>xG: 51.5, xGA: 38.7, Diff: 12.8</t>
  </si>
  <si>
    <t>Record: 21-8-9, 71 points (1.87 per game), 4th in La Liga (1st Tier)</t>
  </si>
  <si>
    <t>Home Record: 11-5-3, 38 points Away Record: 10-3-6, 33 points</t>
  </si>
  <si>
    <t>xG: 52.9, xGA: 33.0, Diff: 19.8</t>
  </si>
  <si>
    <t>Record: 16-12-10, 60 points (1.58 per game), 6th in La Liga (1st Tier)</t>
  </si>
  <si>
    <t>Home Record: 8-6-5, 30 points Away Record: 8-6-5, 30 points</t>
  </si>
  <si>
    <t>Goals: 51 (1.34 per game), Goals Against: 39 (1.03 per game), Diff: 12</t>
  </si>
  <si>
    <t>xG: 44.9, xGA: 41.3, Diff: 3.6</t>
  </si>
  <si>
    <t>Record: 5-3-6, 18 points (1.29 per game), 10th in La Liga (1st Tier)</t>
  </si>
  <si>
    <t>Home Record: 2-1-4, 7 points Away Record: 3-2-2, 11 points</t>
  </si>
  <si>
    <t>Goals: 11 (0.79 per game), Goals Against: 11 (0.79 per game), Diff: 0</t>
  </si>
  <si>
    <t>xG: 17.5, xGA: 15.0, Diff: 2.5</t>
  </si>
  <si>
    <t>Record: 2-4-6, 10 points (0.83 per game), 18th in La Liga (1st Tier)</t>
  </si>
  <si>
    <t>Home Record: 2-2-2, 8 points Away Record: 0-2-4, 2 points</t>
  </si>
  <si>
    <t>Goals: 12 (1.00 per game), Goals Against: 19 (1.58 per game), Diff: -7</t>
  </si>
  <si>
    <t>xG: 9.5, xGA: 19.1, Diff: -9.6</t>
  </si>
  <si>
    <t>Includes all matches from 2024-07-01 to 2025-06-30</t>
  </si>
  <si>
    <t>Record: 10-13-15, 43 points (1.13 per game), 13th in La Liga (1st Tier)</t>
  </si>
  <si>
    <t>New Coach</t>
  </si>
  <si>
    <t>Change in Coach</t>
  </si>
  <si>
    <r>
      <t xml:space="preserve">Bordalas </t>
    </r>
    <r>
      <rPr>
        <sz val="11"/>
        <color rgb="FFFF0000"/>
        <rFont val="Aptos Narrow"/>
        <family val="2"/>
        <scheme val="minor"/>
      </rPr>
      <t xml:space="preserve">FIRED </t>
    </r>
    <r>
      <rPr>
        <sz val="11"/>
        <rFont val="Aptos Narrow"/>
        <family val="2"/>
        <scheme val="minor"/>
      </rPr>
      <t>(summer)</t>
    </r>
    <r>
      <rPr>
        <sz val="11"/>
        <color theme="1"/>
        <rFont val="Aptos Narrow"/>
        <family val="2"/>
        <scheme val="minor"/>
      </rPr>
      <t xml:space="preserve">-Gattuso </t>
    </r>
    <r>
      <rPr>
        <sz val="11"/>
        <color theme="6" tint="0.39997558519241921"/>
        <rFont val="Aptos Narrow"/>
        <family val="2"/>
        <scheme val="minor"/>
      </rPr>
      <t xml:space="preserve">HIRED(summer)   </t>
    </r>
    <r>
      <rPr>
        <sz val="11"/>
        <rFont val="Aptos Narrow"/>
        <family val="2"/>
        <scheme val="minor"/>
      </rPr>
      <t xml:space="preserve">Gattuso </t>
    </r>
    <r>
      <rPr>
        <sz val="11"/>
        <color rgb="FFFF0000"/>
        <rFont val="Aptos Narrow"/>
        <family val="2"/>
        <scheme val="minor"/>
      </rPr>
      <t xml:space="preserve">FIRED(winter) </t>
    </r>
    <r>
      <rPr>
        <sz val="11"/>
        <rFont val="Aptos Narrow"/>
        <family val="2"/>
        <scheme val="minor"/>
      </rPr>
      <t>-&gt;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theme="6" tint="0.59999389629810485"/>
        <rFont val="Aptos Narrow"/>
        <family val="2"/>
        <scheme val="minor"/>
      </rPr>
      <t>HIRED</t>
    </r>
    <r>
      <rPr>
        <sz val="11"/>
        <color theme="6" tint="0.39997558519241921"/>
        <rFont val="Aptos Narrow"/>
        <family val="2"/>
        <scheme val="minor"/>
      </rPr>
      <t xml:space="preserve"> </t>
    </r>
  </si>
  <si>
    <r>
      <t xml:space="preserve">Garcia-&gt; </t>
    </r>
    <r>
      <rPr>
        <sz val="11"/>
        <color theme="9"/>
        <rFont val="Aptos Narrow"/>
        <family val="2"/>
        <scheme val="minor"/>
      </rPr>
      <t>HIRED</t>
    </r>
  </si>
  <si>
    <r>
      <t>Marcelino-</t>
    </r>
    <r>
      <rPr>
        <sz val="11"/>
        <color rgb="FFC00000"/>
        <rFont val="Aptos Narrow"/>
        <family val="2"/>
        <scheme val="minor"/>
      </rPr>
      <t>FIRED</t>
    </r>
    <r>
      <rPr>
        <sz val="11"/>
        <color theme="1"/>
        <rFont val="Aptos Narrow"/>
        <family val="2"/>
        <scheme val="minor"/>
      </rPr>
      <t xml:space="preserve"> (Fall 19')    Caledes-&gt;</t>
    </r>
    <r>
      <rPr>
        <sz val="11"/>
        <color theme="9"/>
        <rFont val="Aptos Narrow"/>
        <family val="2"/>
        <scheme val="minor"/>
      </rPr>
      <t>HIRED</t>
    </r>
    <r>
      <rPr>
        <sz val="11"/>
        <color theme="1"/>
        <rFont val="Aptos Narrow"/>
        <family val="2"/>
        <scheme val="minor"/>
      </rPr>
      <t>(Fall 19')   Caledes-&gt;</t>
    </r>
    <r>
      <rPr>
        <sz val="11"/>
        <color rgb="FFFF0000"/>
        <rFont val="Aptos Narrow"/>
        <family val="2"/>
        <scheme val="minor"/>
      </rPr>
      <t>FIRED</t>
    </r>
    <r>
      <rPr>
        <sz val="11"/>
        <color theme="1"/>
        <rFont val="Aptos Narrow"/>
        <family val="2"/>
        <scheme val="minor"/>
      </rPr>
      <t xml:space="preserve"> (summer 20')</t>
    </r>
  </si>
  <si>
    <r>
      <t xml:space="preserve">Garcia -&gt; </t>
    </r>
    <r>
      <rPr>
        <sz val="11"/>
        <color theme="9"/>
        <rFont val="Aptos Narrow"/>
        <family val="2"/>
        <scheme val="minor"/>
      </rPr>
      <t>HIRED</t>
    </r>
    <r>
      <rPr>
        <sz val="11"/>
        <color theme="1"/>
        <rFont val="Aptos Narrow"/>
        <family val="2"/>
        <scheme val="minor"/>
      </rPr>
      <t xml:space="preserve"> (Spring 17')</t>
    </r>
  </si>
  <si>
    <r>
      <t xml:space="preserve">J. Garcia-&gt; </t>
    </r>
    <r>
      <rPr>
        <sz val="11"/>
        <color theme="9"/>
        <rFont val="Aptos Narrow"/>
        <family val="2"/>
        <scheme val="minor"/>
      </rPr>
      <t>HIRED</t>
    </r>
    <r>
      <rPr>
        <sz val="11"/>
        <color theme="1"/>
        <rFont val="Aptos Narrow"/>
        <family val="2"/>
        <scheme val="minor"/>
      </rPr>
      <t xml:space="preserve"> (Summer 20') -&gt;  </t>
    </r>
    <r>
      <rPr>
        <sz val="11"/>
        <color rgb="FFFF0000"/>
        <rFont val="Aptos Narrow"/>
        <family val="2"/>
        <scheme val="minor"/>
      </rPr>
      <t>FIRED</t>
    </r>
    <r>
      <rPr>
        <sz val="11"/>
        <color theme="1"/>
        <rFont val="Aptos Narrow"/>
        <family val="2"/>
        <scheme val="minor"/>
      </rPr>
      <t>(Spring 21')</t>
    </r>
  </si>
  <si>
    <r>
      <t xml:space="preserve">Marcelino-&gt; </t>
    </r>
    <r>
      <rPr>
        <sz val="11"/>
        <color rgb="FFFF0000"/>
        <rFont val="Aptos Narrow"/>
        <family val="2"/>
        <scheme val="minor"/>
      </rPr>
      <t>FIRED</t>
    </r>
    <r>
      <rPr>
        <sz val="11"/>
        <color theme="1"/>
        <rFont val="Aptos Narrow"/>
        <family val="2"/>
        <scheme val="minor"/>
      </rPr>
      <t xml:space="preserve"> (Fall 19')</t>
    </r>
  </si>
  <si>
    <r>
      <t>Eusebio Sacristan-&gt;</t>
    </r>
    <r>
      <rPr>
        <sz val="11"/>
        <color rgb="FFFF0000"/>
        <rFont val="Aptos Narrow"/>
        <family val="2"/>
        <scheme val="minor"/>
      </rPr>
      <t>FIRED</t>
    </r>
    <r>
      <rPr>
        <sz val="11"/>
        <color theme="1"/>
        <rFont val="Aptos Narrow"/>
        <family val="2"/>
        <scheme val="minor"/>
      </rPr>
      <t xml:space="preserve"> (Spring18') Imonal Alguacil -&gt; </t>
    </r>
    <r>
      <rPr>
        <sz val="11"/>
        <color theme="9"/>
        <rFont val="Aptos Narrow"/>
        <family val="2"/>
        <scheme val="minor"/>
      </rPr>
      <t>HIRED</t>
    </r>
    <r>
      <rPr>
        <sz val="11"/>
        <color theme="1"/>
        <rFont val="Aptos Narrow"/>
        <family val="2"/>
        <scheme val="minor"/>
      </rPr>
      <t xml:space="preserve"> (Winter18')</t>
    </r>
  </si>
  <si>
    <t>Imanol Alguacil -&gt; Current Manager</t>
  </si>
  <si>
    <t>Home Attendance</t>
  </si>
  <si>
    <t>k</t>
  </si>
  <si>
    <t>Pts/MP</t>
  </si>
  <si>
    <t>xGD</t>
  </si>
  <si>
    <t>xGD/90</t>
  </si>
  <si>
    <t>Robert Lewandowski - 23</t>
  </si>
  <si>
    <t>Marc-André ter Stegen</t>
  </si>
  <si>
    <t>Karim Benzema - 19</t>
  </si>
  <si>
    <t>Thibaut Courtois</t>
  </si>
  <si>
    <t>Antoine Griezmann - 15</t>
  </si>
  <si>
    <t>Jan Oblak</t>
  </si>
  <si>
    <t>Alexander Sørloth - 12</t>
  </si>
  <si>
    <t>Álex Remiro</t>
  </si>
  <si>
    <t>Nicolas Jackson - 12</t>
  </si>
  <si>
    <t>Pepe Reina</t>
  </si>
  <si>
    <t>Borja Iglesias - 15</t>
  </si>
  <si>
    <t>Rui Silva</t>
  </si>
  <si>
    <t>Ante Budimir, Ezequiel Ávila - 8</t>
  </si>
  <si>
    <t>Aitor Fernández</t>
  </si>
  <si>
    <t>→ Europa Conference League via league finish</t>
  </si>
  <si>
    <t>Iñaki Williams, Oihan Sancet - 10</t>
  </si>
  <si>
    <t>Unai Simón</t>
  </si>
  <si>
    <t>Vedat Muriqi - 15</t>
  </si>
  <si>
    <t>Predrag Rajković</t>
  </si>
  <si>
    <t>Valentín Castellanos - 13</t>
  </si>
  <si>
    <t>Paulo Gazzaniga</t>
  </si>
  <si>
    <t>Isaac Palazón Camacho - 9</t>
  </si>
  <si>
    <t>Stole Dimitrievski</t>
  </si>
  <si>
    <t>Youssef En-Nesyri - 8</t>
  </si>
  <si>
    <t>Yassine Bounou</t>
  </si>
  <si>
    <t>Iago Aspas - 12</t>
  </si>
  <si>
    <t>Agustín Marchesín, Iván Villar</t>
  </si>
  <si>
    <t>Theo Bongonda, Gonzalo Escalante - 4</t>
  </si>
  <si>
    <t>Jeremías Ledesma</t>
  </si>
  <si>
    <t>Enes Ünal - 14</t>
  </si>
  <si>
    <t>David Soria</t>
  </si>
  <si>
    <t>Samuel Lino, Justin Kluivert - 6</t>
  </si>
  <si>
    <t>El Bilal Touré - 7</t>
  </si>
  <si>
    <t>Fernando</t>
  </si>
  <si>
    <t>Cyle Larin - 8</t>
  </si>
  <si>
    <t>Jordi Masip</t>
  </si>
  <si>
    <t>Relegated</t>
  </si>
  <si>
    <t>Joselu - 16</t>
  </si>
  <si>
    <t>Fernando Pacheco</t>
  </si>
  <si>
    <t>Lucas Boyé - 7</t>
  </si>
  <si>
    <t>Édgar Badía</t>
  </si>
  <si>
    <t> Barcelona</t>
  </si>
  <si>
    <t> Atlético Madrid</t>
  </si>
  <si>
    <t xml:space="preserve"> Osasuna</t>
  </si>
  <si>
    <t xml:space="preserve"> Athletic Club</t>
  </si>
  <si>
    <t xml:space="preserve"> Mallorca</t>
  </si>
  <si>
    <t xml:space="preserve"> Girona</t>
  </si>
  <si>
    <t xml:space="preserve"> Rayo Vallecano</t>
  </si>
  <si>
    <t xml:space="preserve"> Sevilla</t>
  </si>
  <si>
    <t xml:space="preserve"> Celta Vigo</t>
  </si>
  <si>
    <t xml:space="preserve"> Cádiz</t>
  </si>
  <si>
    <t xml:space="preserve"> Getafe</t>
  </si>
  <si>
    <t xml:space="preserve"> Valencia</t>
  </si>
  <si>
    <t xml:space="preserve"> Almería</t>
  </si>
  <si>
    <t xml:space="preserve"> Valladolid</t>
  </si>
  <si>
    <t xml:space="preserve"> Espanyol</t>
  </si>
  <si>
    <t xml:space="preserve"> Elche</t>
  </si>
  <si>
    <t>2023-24 Season</t>
  </si>
  <si>
    <t>2022-23 Season</t>
  </si>
  <si>
    <t>2024-25 Season</t>
  </si>
  <si>
    <t>Rk</t>
  </si>
  <si>
    <t>Last 5</t>
  </si>
  <si>
    <t>W W W L D</t>
  </si>
  <si>
    <t>Robert Lewandowski - 15</t>
  </si>
  <si>
    <t>Iñaki Peña</t>
  </si>
  <si>
    <t>W W L W W</t>
  </si>
  <si>
    <t>Vinicius Júnior - 8</t>
  </si>
  <si>
    <t>W L W W W</t>
  </si>
  <si>
    <t>Alexander Sørloth - 5</t>
  </si>
  <si>
    <t>L D W W D</t>
  </si>
  <si>
    <t>Ayoze Pérez - 7</t>
  </si>
  <si>
    <t>Diego Conde</t>
  </si>
  <si>
    <t>D L L W W</t>
  </si>
  <si>
    <t>Dani Rodríguez - 3</t>
  </si>
  <si>
    <t>Dominik Greif</t>
  </si>
  <si>
    <t>W D D D W</t>
  </si>
  <si>
    <t>Oihan Sancet - 5</t>
  </si>
  <si>
    <t>Julen Agirrezabala</t>
  </si>
  <si>
    <t>L W W L D</t>
  </si>
  <si>
    <t>Ante Budimir - 8</t>
  </si>
  <si>
    <t>Sergio Herrera</t>
  </si>
  <si>
    <t>L L W W W</t>
  </si>
  <si>
    <t>Cristhian Stuani - 4</t>
  </si>
  <si>
    <t>W W D D L</t>
  </si>
  <si>
    <t>Giovani Lo Celso - 5</t>
  </si>
  <si>
    <t>W L W W L</t>
  </si>
  <si>
    <t>Takefusa Kubo - 3</t>
  </si>
  <si>
    <t>L L W D D</t>
  </si>
  <si>
    <t>Iago Aspas, Borja Iglesias - 4</t>
  </si>
  <si>
    <t>L W L L W</t>
  </si>
  <si>
    <t>Dodi Lukebakio - 5</t>
  </si>
  <si>
    <t>Ørjan Nyland</t>
  </si>
  <si>
    <t>W L W L L</t>
  </si>
  <si>
    <t>Jorge de Frutos - 3</t>
  </si>
  <si>
    <t>Augusto Batalla</t>
  </si>
  <si>
    <t>L W L W L</t>
  </si>
  <si>
    <t>Juan Cruz - 4</t>
  </si>
  <si>
    <t>Marko Dmitrovic</t>
  </si>
  <si>
    <t>D D L L W</t>
  </si>
  <si>
    <t>Mauro Arambarri - 4</t>
  </si>
  <si>
    <t>L L W L L</t>
  </si>
  <si>
    <t>Kiké, Toni Martínez - 3</t>
  </si>
  <si>
    <t>Antonio Sivera</t>
  </si>
  <si>
    <t>W W L W L</t>
  </si>
  <si>
    <t>Fábio Silva, Alberto Moleiro - 4</t>
  </si>
  <si>
    <t>D L D W L</t>
  </si>
  <si>
    <t>Hugo Duro - 4</t>
  </si>
  <si>
    <t>W L L L L</t>
  </si>
  <si>
    <t>Javi Puado - 5</t>
  </si>
  <si>
    <t>Joan García</t>
  </si>
  <si>
    <t>W L L D L</t>
  </si>
  <si>
    <t>Raúl Moro - 3</t>
  </si>
  <si>
    <t xml:space="preserve"> Barcelona</t>
  </si>
  <si>
    <t xml:space="preserve">  Real Madrid</t>
  </si>
  <si>
    <t xml:space="preserve">  Atlético Madrid</t>
  </si>
  <si>
    <t xml:space="preserve">  Villarreal</t>
  </si>
  <si>
    <t xml:space="preserve">  Mallorca</t>
  </si>
  <si>
    <t xml:space="preserve">  Athletic Club</t>
  </si>
  <si>
    <t xml:space="preserve">  Osasuna</t>
  </si>
  <si>
    <t xml:space="preserve">  Girona</t>
  </si>
  <si>
    <t xml:space="preserve">  Betis</t>
  </si>
  <si>
    <t xml:space="preserve">  Real Sociedad</t>
  </si>
  <si>
    <t xml:space="preserve">  Celta Vigo</t>
  </si>
  <si>
    <t xml:space="preserve">  Sevilla</t>
  </si>
  <si>
    <t xml:space="preserve">  Rayo Vallecano</t>
  </si>
  <si>
    <t xml:space="preserve">  Leganés</t>
  </si>
  <si>
    <t xml:space="preserve">  Getafe</t>
  </si>
  <si>
    <t xml:space="preserve">  Alavés</t>
  </si>
  <si>
    <t xml:space="preserve">  Las Palmas</t>
  </si>
  <si>
    <t xml:space="preserve">  Valencia</t>
  </si>
  <si>
    <t xml:space="preserve">  Espanyol</t>
  </si>
  <si>
    <t xml:space="preserve">  Valladolid</t>
  </si>
  <si>
    <t>Jude Bellingham - 19</t>
  </si>
  <si>
    <t>Andriy Lunin</t>
  </si>
  <si>
    <t>Robert Lewandowski - 19</t>
  </si>
  <si>
    <t>Artem Dovbyk - 24</t>
  </si>
  <si>
    <t>Antoine Griezmann - 16</t>
  </si>
  <si>
    <t>Gorka Guruzeta - 14</t>
  </si>
  <si>
    <t>→ Europa League via cup win</t>
  </si>
  <si>
    <t>Mikel Oyarzabal - 9</t>
  </si>
  <si>
    <t>Willian José - 10</t>
  </si>
  <si>
    <t>Alexander Sørloth - 23</t>
  </si>
  <si>
    <t>Filip Jørgensen</t>
  </si>
  <si>
    <t>Samu Omorodion - 8</t>
  </si>
  <si>
    <t>Ante Budimir - 17</t>
  </si>
  <si>
    <t>Borja Mayoral - 15</t>
  </si>
  <si>
    <t>Jørgen Strand Larsen - 13</t>
  </si>
  <si>
    <t>Youssef En-Nesyri - 16</t>
  </si>
  <si>
    <t>Vedat Muriqi - 7</t>
  </si>
  <si>
    <t>Kirian Rodríguez - 6</t>
  </si>
  <si>
    <t>Álvaro Vallés</t>
  </si>
  <si>
    <t>Álvaro García - 6</t>
  </si>
  <si>
    <t>Chris Ramos - 5</t>
  </si>
  <si>
    <t>Sergio Arribas - 9</t>
  </si>
  <si>
    <t>Luís Maximiano</t>
  </si>
  <si>
    <t>Myrto Uzuni - 11</t>
  </si>
  <si>
    <t>Augusto</t>
  </si>
  <si>
    <t xml:space="preserve"> Real Madrid</t>
  </si>
  <si>
    <t xml:space="preserve"> Atlético Madrid</t>
  </si>
  <si>
    <t xml:space="preserve"> Real Sociedad</t>
  </si>
  <si>
    <t xml:space="preserve"> Betis</t>
  </si>
  <si>
    <t xml:space="preserve"> Villarreal</t>
  </si>
  <si>
    <t xml:space="preserve"> Alavés</t>
  </si>
  <si>
    <t xml:space="preserve"> Las Palmas</t>
  </si>
  <si>
    <t xml:space="preserve"> Granada</t>
  </si>
  <si>
    <t>2021-22 Season</t>
  </si>
  <si>
    <t>Karim Benzema - 27</t>
  </si>
  <si>
    <t>Memphis - 12</t>
  </si>
  <si>
    <t>Ángel Correa - 12</t>
  </si>
  <si>
    <t>Rafa Mir - 10</t>
  </si>
  <si>
    <t>Juanmi - 16</t>
  </si>
  <si>
    <t>Arnaut Danjuma - 10</t>
  </si>
  <si>
    <t>Gerónimo Rulli</t>
  </si>
  <si>
    <t>Iñaki Williams - 8</t>
  </si>
  <si>
    <t>Gonçalo Guedes, Carlos Soler - 11</t>
  </si>
  <si>
    <t>Ante Budimir - 8</t>
  </si>
  <si>
    <t>Iago Aspas - 18</t>
  </si>
  <si>
    <t>Matías Dituro</t>
  </si>
  <si>
    <t>Sergi Guardiola - 8</t>
  </si>
  <si>
    <t>Pere Milla - 8</t>
  </si>
  <si>
    <t>Raúl de Tomás - 17</t>
  </si>
  <si>
    <t>Diego López</t>
  </si>
  <si>
    <t>Enes Ünal - 16</t>
  </si>
  <si>
    <t>Vedat Muriqi, Salva Sevilla - 5</t>
  </si>
  <si>
    <t>Manolo Reina</t>
  </si>
  <si>
    <t>Anthony Lozano, Álvaro Negredo - 7</t>
  </si>
  <si>
    <t>Jorge Molina - 10</t>
  </si>
  <si>
    <t>José Luis Morales - 13</t>
  </si>
  <si>
    <t>Cárdenas</t>
  </si>
  <si>
    <t>Joselu - 14</t>
  </si>
  <si>
    <t xml:space="preserve"> Levante</t>
  </si>
  <si>
    <t>2020-21 Season</t>
  </si>
  <si>
    <t>Luis Suárez - 21</t>
  </si>
  <si>
    <t>Karim Benzema - 23</t>
  </si>
  <si>
    <t>Lionel Messi - 30</t>
  </si>
  <si>
    <t>Youssef En-Nesyri - 18</t>
  </si>
  <si>
    <t>Alexander Isak - 17</t>
  </si>
  <si>
    <t>Borja Iglesias - 11</t>
  </si>
  <si>
    <t>Claudio Bravo</t>
  </si>
  <si>
    <t>→ Europa League via league finish 1</t>
  </si>
  <si>
    <t>Gerard Moreno - 23</t>
  </si>
  <si>
    <t>Sergio Asenjo</t>
  </si>
  <si>
    <t>Iago Aspas - 14</t>
  </si>
  <si>
    <t>Iván Villar</t>
  </si>
  <si>
    <t>Roberto Soldado - 9</t>
  </si>
  <si>
    <t>Álex Berenguer - 8</t>
  </si>
  <si>
    <t>Ante Budimir - 11</t>
  </si>
  <si>
    <t>Álvaro Negredo - 8</t>
  </si>
  <si>
    <t>Ángel Rodríguez, Jaime Mata - 5</t>
  </si>
  <si>
    <t>Joselu - 11</t>
  </si>
  <si>
    <t>Rafa Mir - 13</t>
  </si>
  <si>
    <t>Álvaro Fernández</t>
  </si>
  <si>
    <t>Fabián Orellana, Shon Weissman - 6</t>
  </si>
  <si>
    <t>Kiké - 12</t>
  </si>
  <si>
    <t>Marko Dmitrović</t>
  </si>
  <si>
    <t>Rel</t>
  </si>
  <si>
    <t xml:space="preserve"> Huesca</t>
  </si>
  <si>
    <t xml:space="preserve"> Eibar</t>
  </si>
  <si>
    <t>2019-20 Season</t>
  </si>
  <si>
    <t>Karim Benzema - 21</t>
  </si>
  <si>
    <t>Lionel Messi - 25</t>
  </si>
  <si>
    <t>Álvaro Morata - 12</t>
  </si>
  <si>
    <t>Lucas Ocampos - 14</t>
  </si>
  <si>
    <t>Tomáš Vaclík</t>
  </si>
  <si>
    <t>Gerard Moreno - 18</t>
  </si>
  <si>
    <t>Willian José - 11</t>
  </si>
  <si>
    <t>Carlos Fernández - 10</t>
  </si>
  <si>
    <t>Jaime Mata - 11</t>
  </si>
  <si>
    <t>Ezequiel Ávila - 9</t>
  </si>
  <si>
    <t>Raúl García - 15</t>
  </si>
  <si>
    <t>Roger Martí - 11</t>
  </si>
  <si>
    <t>Fabián Orellana - 8</t>
  </si>
  <si>
    <t>Loren Morón - 10</t>
  </si>
  <si>
    <t>Joel Robles</t>
  </si>
  <si>
    <t>Rubén Blanco</t>
  </si>
  <si>
    <t>Óscar Rodríguez Arnaiz - 9</t>
  </si>
  <si>
    <t>Iván Cuéllar</t>
  </si>
  <si>
    <t>Ante Budimir - 13</t>
  </si>
  <si>
    <t>Diego Lóp</t>
  </si>
  <si>
    <t>Joselu, Lucas Pérez - 11</t>
  </si>
  <si>
    <t>Raúl de Tomás, David López... - 4</t>
  </si>
  <si>
    <t>2018-19 Season</t>
  </si>
  <si>
    <t>Lionel Messi - 36</t>
  </si>
  <si>
    <t>Jorge Molina, Jaime Mata - 14</t>
  </si>
  <si>
    <t>Wissam Ben Yedder - 18</t>
  </si>
  <si>
    <t>Borja Iglesias - 17</t>
  </si>
  <si>
    <t>Iñaki Williams - 13</t>
  </si>
  <si>
    <t>Iago Herrerín</t>
  </si>
  <si>
    <t>Mikel Oyarzabal - 13</t>
  </si>
  <si>
    <t>Giovani Lo Celso - 9</t>
  </si>
  <si>
    <t>Pau López</t>
  </si>
  <si>
    <t>Jonathan Calleri - 9</t>
  </si>
  <si>
    <t>Charles - 14</t>
  </si>
  <si>
    <t>Youssef En-Nesyri - 9</t>
  </si>
  <si>
    <t>Karl Toko Ekambi - 10</t>
  </si>
  <si>
    <t>Roger Martí - 13</t>
  </si>
  <si>
    <t>Oier Olazábal</t>
  </si>
  <si>
    <t>Enes Ünal - 6</t>
  </si>
  <si>
    <t>Iago Aspas - 20</t>
  </si>
  <si>
    <t>Cristhian Stuani - 19</t>
  </si>
  <si>
    <t>Ezequiel Ávila - 10</t>
  </si>
  <si>
    <t>Roberto Santamaría</t>
  </si>
  <si>
    <t>Raúl de Tomás - 14</t>
  </si>
  <si>
    <t>Stole Dimi</t>
  </si>
  <si>
    <t>2017-18 Season</t>
  </si>
  <si>
    <t>Lionel Messi - 34</t>
  </si>
  <si>
    <t>Antoine Griezmann - 19</t>
  </si>
  <si>
    <t>→ Champions League via Europa League win</t>
  </si>
  <si>
    <t>Cristiano Ronaldo - 26</t>
  </si>
  <si>
    <t>Keylor Navas</t>
  </si>
  <si>
    <t>→ Champions League via Champions League win</t>
  </si>
  <si>
    <t>Carlos Bacca - 15</t>
  </si>
  <si>
    <t>Sergio León - 11</t>
  </si>
  <si>
    <t>Antonio Adán</t>
  </si>
  <si>
    <t>Wissam Ben Yedder - 9</t>
  </si>
  <si>
    <t>Sergio Rico</t>
  </si>
  <si>
    <t>Ángel Rodríguez - 13</t>
  </si>
  <si>
    <t>Charles, Kiké - 8</t>
  </si>
  <si>
    <t>Cristhian Stuani - 21</t>
  </si>
  <si>
    <t>Gerard Moreno - 16</t>
  </si>
  <si>
    <t>Willian José - 15</t>
  </si>
  <si>
    <t>Iago Aspas - 22</t>
  </si>
  <si>
    <t>Munir El Haddadi - 10</t>
  </si>
  <si>
    <t>José Luis Morales - 10</t>
  </si>
  <si>
    <t>Raúl García - 10</t>
  </si>
  <si>
    <t>Kepa Arrizabalaga</t>
  </si>
  <si>
    <t>Gabriel - 5</t>
  </si>
  <si>
    <t>Adrián López - 9</t>
  </si>
  <si>
    <t>Rubén</t>
  </si>
  <si>
    <t>Leandro Chichizola</t>
  </si>
  <si>
    <t>Diego Rolán - 5</t>
  </si>
  <si>
    <t>2016-17 Season</t>
  </si>
  <si>
    <t>Cristiano Ronaldo - 25</t>
  </si>
  <si>
    <t>Lionel Messi - 37</t>
  </si>
  <si>
    <t>Wissam Ben Yedder - 11</t>
  </si>
  <si>
    <t>Cédric Bakambu - 11</t>
  </si>
  <si>
    <t>Willian José - 12</t>
  </si>
  <si>
    <t>Aritz Aduriz - 16</t>
  </si>
  <si>
    <t>Gerard Moreno - 13</t>
  </si>
  <si>
    <t>Deyverson - 7</t>
  </si>
  <si>
    <t>Sergi Enrich - 11</t>
  </si>
  <si>
    <t>Yoel</t>
  </si>
  <si>
    <t>Sandro Ramírez - 14</t>
  </si>
  <si>
    <t>Carlos Kameni</t>
  </si>
  <si>
    <t>Simone Zaza, Santi Mina... - 6</t>
  </si>
  <si>
    <t>Iago Aspas - 19</t>
  </si>
  <si>
    <t>Sergio Álvarez</t>
  </si>
  <si>
    <t>Kevin-Prince Boateng - 10</t>
  </si>
  <si>
    <t>Javi Varas</t>
  </si>
  <si>
    <t>Rubén Castro - 13</t>
  </si>
  <si>
    <t>Florin Andone - 12</t>
  </si>
  <si>
    <t>Germán Lux</t>
  </si>
  <si>
    <t>Alexander - 8</t>
  </si>
  <si>
    <t>Duje Čop - 9</t>
  </si>
  <si>
    <t>Sergio León - 10</t>
  </si>
  <si>
    <t>Salvatore Sirigu</t>
  </si>
  <si>
    <t>Andreas Pereira, Artem Kravets... - 5</t>
  </si>
  <si>
    <t>Guillermo Ocho</t>
  </si>
  <si>
    <t>2015-16 Season</t>
  </si>
  <si>
    <t>Luis Suárez - 40</t>
  </si>
  <si>
    <t>Cristiano Ronaldo - 35</t>
  </si>
  <si>
    <t>Antoine Griezmann - 22</t>
  </si>
  <si>
    <t>Cédric Bakambu - 12</t>
  </si>
  <si>
    <t>Alphonse Areola</t>
  </si>
  <si>
    <t>Aritz Aduriz - 20</t>
  </si>
  <si>
    <t>Gorka Iraizoz</t>
  </si>
  <si>
    <t>Iago Aspas - 13</t>
  </si>
  <si>
    <t>Kévin Gameiro - 16</t>
  </si>
  <si>
    <t>Charles - 12</t>
  </si>
  <si>
    <t>Imanol Agirretxe - 13</t>
  </si>
  <si>
    <t>Rubén Castro - 19</t>
  </si>
  <si>
    <t>Jonathan Viera - 10</t>
  </si>
  <si>
    <t>Felipe Caicedo - 8</t>
  </si>
  <si>
    <t>Borja Bastón - 18</t>
  </si>
  <si>
    <t>Asier Riesgo</t>
  </si>
  <si>
    <t>Lucas Pérez - 17</t>
  </si>
  <si>
    <t>Youssef El-Arabi - 16</t>
  </si>
  <si>
    <t>Andrés Fernández</t>
  </si>
  <si>
    <t>Antonio Sanabria - 11</t>
  </si>
  <si>
    <t>Javi Guerra - 12</t>
  </si>
  <si>
    <t>Juan Carlos</t>
  </si>
  <si>
    <t>Pablo Sarabia - 7</t>
  </si>
  <si>
    <t>Deyverson - 9</t>
  </si>
  <si>
    <t>Diego Mariño</t>
  </si>
  <si>
    <t>Relegate</t>
  </si>
  <si>
    <t xml:space="preserve">  Real Madrid</t>
  </si>
  <si>
    <t xml:space="preserve">  Barcelona</t>
  </si>
  <si>
    <t xml:space="preserve">  Atlético Madrid</t>
  </si>
  <si>
    <t xml:space="preserve">  Sevilla</t>
  </si>
  <si>
    <t xml:space="preserve">  Villarreal</t>
  </si>
  <si>
    <t xml:space="preserve">  Real Sociedad</t>
  </si>
  <si>
    <t xml:space="preserve">  Granada</t>
  </si>
  <si>
    <t xml:space="preserve">  Getafe</t>
  </si>
  <si>
    <t xml:space="preserve">  Valencia</t>
  </si>
  <si>
    <t xml:space="preserve">  Osasuna</t>
  </si>
  <si>
    <t xml:space="preserve">  Athletic Club</t>
  </si>
  <si>
    <t xml:space="preserve">  Levante</t>
  </si>
  <si>
    <t xml:space="preserve">  Valladolid</t>
  </si>
  <si>
    <t xml:space="preserve">  Eibar</t>
  </si>
  <si>
    <t xml:space="preserve">  Betis</t>
  </si>
  <si>
    <t xml:space="preserve">  Alavés</t>
  </si>
  <si>
    <t xml:space="preserve">  Celta Vigo</t>
  </si>
  <si>
    <t xml:space="preserve">  Leganés</t>
  </si>
  <si>
    <t xml:space="preserve">  Mallorca</t>
  </si>
  <si>
    <t xml:space="preserve">  Espanyol</t>
  </si>
  <si>
    <t xml:space="preserve">  Girona</t>
  </si>
  <si>
    <t xml:space="preserve">  Huesca</t>
  </si>
  <si>
    <t xml:space="preserve">  Rayo Vallecano</t>
  </si>
  <si>
    <t xml:space="preserve">  La Coruña</t>
  </si>
  <si>
    <t xml:space="preserve">  Las Palmas</t>
  </si>
  <si>
    <t xml:space="preserve">  Málaga</t>
  </si>
  <si>
    <t xml:space="preserve">  Sporting Gijón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</si>
  <si>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</si>
  <si>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</si>
  <si>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</si>
  <si>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</si>
  <si>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</si>
  <si>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</si>
  <si>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</si>
  <si>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</si>
  <si>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</si>
  <si>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Avg Pos</t>
  </si>
  <si>
    <t>Each season runs from August to May (following year)</t>
  </si>
  <si>
    <t>oss</t>
  </si>
  <si>
    <t>Captain</t>
  </si>
  <si>
    <t>Formation</t>
  </si>
  <si>
    <t>Opp Formation</t>
  </si>
  <si>
    <t>Referee</t>
  </si>
  <si>
    <t>Match Report</t>
  </si>
  <si>
    <t>Enzo Pérez</t>
  </si>
  <si>
    <t>4-2-3-1</t>
  </si>
  <si>
    <t>Iñaki Bikandi</t>
  </si>
  <si>
    <t>Daniel Parejo</t>
  </si>
  <si>
    <t>Alejandro Hernández</t>
  </si>
  <si>
    <t>José González</t>
  </si>
  <si>
    <t>Jesús Gil</t>
  </si>
  <si>
    <t>Santiago Jaime</t>
  </si>
  <si>
    <t>David Fernández</t>
  </si>
  <si>
    <t>Carlos Clos</t>
  </si>
  <si>
    <t>Sporting Gijón</t>
  </si>
  <si>
    <t>José Luis Munuera</t>
  </si>
  <si>
    <t>Alberto Undiano</t>
  </si>
  <si>
    <t>3-4-1-2</t>
  </si>
  <si>
    <t>3-5-1-1</t>
  </si>
  <si>
    <t>Carlos del Cerro</t>
  </si>
  <si>
    <t>Leg 1 of 2</t>
  </si>
  <si>
    <t>Ignacio Iglesias</t>
  </si>
  <si>
    <t>Javier Estrada</t>
  </si>
  <si>
    <t>Mario Melero</t>
  </si>
  <si>
    <t>Leg 2 of 2; Valencia won</t>
  </si>
  <si>
    <t>Alfonso Álvarez</t>
  </si>
  <si>
    <t>Leg 2 of 2; Celta Vigo won</t>
  </si>
  <si>
    <t>José Sánchez</t>
  </si>
  <si>
    <t>Daniel Trujillo</t>
  </si>
  <si>
    <t>Ricardo de Burgos</t>
  </si>
  <si>
    <t>Daniel Ocón</t>
  </si>
  <si>
    <t>16:45 (10:45)</t>
  </si>
  <si>
    <t>fr Monaco</t>
  </si>
  <si>
    <t>Mark Clattenburg</t>
  </si>
  <si>
    <t>Javi Fuego</t>
  </si>
  <si>
    <t>Nicola Rizzoli</t>
  </si>
  <si>
    <t>ru Zenit</t>
  </si>
  <si>
    <t>Craig Thomson</t>
  </si>
  <si>
    <t>Carlos Velasco</t>
  </si>
  <si>
    <t>Carlos Clos Gómez</t>
  </si>
  <si>
    <t>fr Lyon</t>
  </si>
  <si>
    <t>4-1-2-1-2</t>
  </si>
  <si>
    <t>Milorad Mažić</t>
  </si>
  <si>
    <t>be Gent</t>
  </si>
  <si>
    <t>4-1-4-1</t>
  </si>
  <si>
    <t>Felix Zwayer</t>
  </si>
  <si>
    <t>18:15 (13:15)</t>
  </si>
  <si>
    <t>Daniele Orsato</t>
  </si>
  <si>
    <t>Pedro Pérez</t>
  </si>
  <si>
    <t>20:00 (12:00)</t>
  </si>
  <si>
    <t>Svein Oddvar Moen</t>
  </si>
  <si>
    <t>Barakaldo</t>
  </si>
  <si>
    <t>Eduardo Prieto</t>
  </si>
  <si>
    <t>Matej Jug</t>
  </si>
  <si>
    <t>Álvaro Negredo</t>
  </si>
  <si>
    <t>Leg 2 of 2; Barcelona won</t>
  </si>
  <si>
    <t>Paco Alcácer</t>
  </si>
  <si>
    <t>at Rapid Wien</t>
  </si>
  <si>
    <t>Miroslav Zelinka</t>
  </si>
  <si>
    <t>Paolo Tagliavento</t>
  </si>
  <si>
    <t>es Athletic Club</t>
  </si>
  <si>
    <t>Björn Kuipers</t>
  </si>
  <si>
    <t>Aymen Abdennour</t>
  </si>
  <si>
    <t>Leg 2 of 2; Athletic Club won</t>
  </si>
  <si>
    <t>17:15 (12:15)</t>
  </si>
  <si>
    <t>Match Repo</t>
  </si>
  <si>
    <t>2014-15</t>
  </si>
  <si>
    <t>2014-15 Season</t>
  </si>
  <si>
    <t>Lionel Messi - 43</t>
  </si>
  <si>
    <t>Cristiano Ronaldo - 48</t>
  </si>
  <si>
    <t>Iker Casillas</t>
  </si>
  <si>
    <t>Miguel Ángel Moyá</t>
  </si>
  <si>
    <t>Daniel Parejo - 12</t>
  </si>
  <si>
    <t>Carlos Bacca - 20</t>
  </si>
  <si>
    <t>Luciano Vietto - 12</t>
  </si>
  <si>
    <t>Aritz Aduriz - 18</t>
  </si>
  <si>
    <t>Nolito - 13</t>
  </si>
  <si>
    <t>Juanmi - 8</t>
  </si>
  <si>
    <t>Sergio García - 14</t>
  </si>
  <si>
    <t>Kiko Casilla</t>
  </si>
  <si>
    <t>Alberto Bueno - 17</t>
  </si>
  <si>
    <t>Toño</t>
  </si>
  <si>
    <t>Carlos Vela - 9</t>
  </si>
  <si>
    <t>Jonathas - 14</t>
  </si>
  <si>
    <t>Przemysław Tytoń</t>
  </si>
  <si>
    <t>Relegated 2</t>
  </si>
  <si>
    <t>David Barral - 11</t>
  </si>
  <si>
    <t>Álvaro Vázquez - 7</t>
  </si>
  <si>
    <t>Lucas Pérez - 6</t>
  </si>
  <si>
    <t>Fabricio</t>
  </si>
  <si>
    <t>Youssef El-Arabi - 8</t>
  </si>
  <si>
    <t>Roberto</t>
  </si>
  <si>
    <t>Mikel Arruabarrena - 9</t>
  </si>
  <si>
    <t>Xabi Irureta</t>
  </si>
  <si>
    <t>Retained 3</t>
  </si>
  <si>
    <t>Tomer Hemed - 8</t>
  </si>
  <si>
    <t>3-point deduction 4, Relegated</t>
  </si>
  <si>
    <t>Nabil Ghilas - 7</t>
  </si>
  <si>
    <t xml:space="preserve">  Elche</t>
  </si>
  <si>
    <t xml:space="preserve">  Almería</t>
  </si>
  <si>
    <t xml:space="preserve">  Córdoba</t>
  </si>
  <si>
    <t>2013-14</t>
  </si>
  <si>
    <t>2012-13</t>
  </si>
  <si>
    <t>2011-12</t>
  </si>
  <si>
    <t>2010-11</t>
  </si>
  <si>
    <t>2009-10</t>
  </si>
  <si>
    <t>2008-09</t>
  </si>
  <si>
    <t>2007-08</t>
  </si>
  <si>
    <t>2006-07</t>
  </si>
  <si>
    <t>2005-06</t>
  </si>
  <si>
    <t>Diego Costa - 27</t>
  </si>
  <si>
    <t>Lionel Messi - 28</t>
  </si>
  <si>
    <t>Víctor Valdés</t>
  </si>
  <si>
    <t>Cristiano Ronaldo - 31</t>
  </si>
  <si>
    <t>Kévin Gameiro - 15</t>
  </si>
  <si>
    <t>Beto</t>
  </si>
  <si>
    <t>→ Europa League via Europa League win</t>
  </si>
  <si>
    <t>Ikechukwu Uche - 13</t>
  </si>
  <si>
    <t>Antoine Griezmann, Carlos Vela - 16</t>
  </si>
  <si>
    <t>Jonas - 10</t>
  </si>
  <si>
    <t>Nolito - 14</t>
  </si>
  <si>
    <t>David Barral - 7</t>
  </si>
  <si>
    <t>Roque Santa Cruz - 6</t>
  </si>
  <si>
    <t>Willy Caballero</t>
  </si>
  <si>
    <t>Joaquín Larrivey - 12</t>
  </si>
  <si>
    <t>Ángel Lafita, Pedro León - 7</t>
  </si>
  <si>
    <t>Sergio García - 12</t>
  </si>
  <si>
    <t>Youssef El-Arabi - 12</t>
  </si>
  <si>
    <t>Richmond Boakye, Ferran Corominas - 6</t>
  </si>
  <si>
    <t>Manu Herrera</t>
  </si>
  <si>
    <t>Verza, Rodri - 8</t>
  </si>
  <si>
    <t>Esteban</t>
  </si>
  <si>
    <t>Oriol Riera - 13</t>
  </si>
  <si>
    <t>Javi Guerra - 15</t>
  </si>
  <si>
    <t>Rubén Castro - 10</t>
  </si>
  <si>
    <t>Lionel Messi - 46</t>
  </si>
  <si>
    <t>Cristiano Ronaldo - 34</t>
  </si>
  <si>
    <t>Radamel Falcao - 28</t>
  </si>
  <si>
    <t>Carlos Vela - 14</t>
  </si>
  <si>
    <t>Roberto Soldado - 24</t>
  </si>
  <si>
    <t>Isco, Roque Santa Cruz - 9</t>
  </si>
  <si>
    <t>Rubén Castro - 18</t>
  </si>
  <si>
    <t>Adrián</t>
  </si>
  <si>
    <t>Piti - 18</t>
  </si>
  <si>
    <t>Álvaro Negredo - 25</t>
  </si>
  <si>
    <t>Andrés Palop</t>
  </si>
  <si>
    <t>Diego Castro - 7</t>
  </si>
  <si>
    <t>Obafemi Martins - 7</t>
  </si>
  <si>
    <t>Gustavo Munúa</t>
  </si>
  <si>
    <t>Aritz Aduriz - 14</t>
  </si>
  <si>
    <t>Joan Verdú - 9</t>
  </si>
  <si>
    <t>Óscar - 12</t>
  </si>
  <si>
    <t>Dani Hernández</t>
  </si>
  <si>
    <t>Enrique Sola - 8</t>
  </si>
  <si>
    <t>Tomer Hemed - 11</t>
  </si>
  <si>
    <t>Dudu Aouate</t>
  </si>
  <si>
    <t>Riki - 13</t>
  </si>
  <si>
    <t>Daniel Aranzubia</t>
  </si>
  <si>
    <t>Hélder Postiga - 14</t>
  </si>
  <si>
    <t>Cristiano Ronaldo - 46</t>
  </si>
  <si>
    <t>Lionel Messi - 50</t>
  </si>
  <si>
    <t>Roberto Soldado - 17</t>
  </si>
  <si>
    <t>Salomón Rondón - 11</t>
  </si>
  <si>
    <t>Radamel Falcao - 24</t>
  </si>
  <si>
    <t>Arouna Koné - 15</t>
  </si>
  <si>
    <t>Raúl García - 11</t>
  </si>
  <si>
    <t>Víctor Casadesús - 9</t>
  </si>
  <si>
    <t>Álvaro Negredo - 14</t>
  </si>
  <si>
    <t>Fernando Llorente - 17</t>
  </si>
  <si>
    <t>→ Europa League via cup loss 1</t>
  </si>
  <si>
    <t>Miku - 12</t>
  </si>
  <si>
    <t>Carlos Vela - 12</t>
  </si>
  <si>
    <t>Rubén Castro - 16</t>
  </si>
  <si>
    <t>Casto</t>
  </si>
  <si>
    <t>Kalu Uche - 6</t>
  </si>
  <si>
    <t>Cristian Álvarez</t>
  </si>
  <si>
    <t>Michu - 15</t>
  </si>
  <si>
    <t>David Cobeño</t>
  </si>
  <si>
    <t>Hélder Postiga - 9</t>
  </si>
  <si>
    <t>Odion Ighalo, Guilherme Siqueira - 6</t>
  </si>
  <si>
    <t>Marco Ruben - 9</t>
  </si>
  <si>
    <t>David Barral - 9</t>
  </si>
  <si>
    <t>Juan Pablo Colinas</t>
  </si>
  <si>
    <t>Cristhian Stuani - 9</t>
  </si>
  <si>
    <t>Lionel Messi - 31</t>
  </si>
  <si>
    <t>Cristiano Ronaldo - 40</t>
  </si>
  <si>
    <t>Roberto Soldado - 18</t>
  </si>
  <si>
    <t>Giuseppe Rossi - 18</t>
  </si>
  <si>
    <t>Álvaro Negredo - 20</t>
  </si>
  <si>
    <t>Fernando Llorente - 18</t>
  </si>
  <si>
    <t>Sergio Agüero - 20</t>
  </si>
  <si>
    <t>David de Gea</t>
  </si>
  <si>
    <t>Dani Osvaldo - 13</t>
  </si>
  <si>
    <t>Enrique Sola - 7</t>
  </si>
  <si>
    <t>Ricardo</t>
  </si>
  <si>
    <t>Diego Castro - 9</t>
  </si>
  <si>
    <t>Salomón Rondón - 14</t>
  </si>
  <si>
    <t>Markus Rosenberg - 9</t>
  </si>
  <si>
    <t>Gabi - 11</t>
  </si>
  <si>
    <t>Leo Franco</t>
  </si>
  <si>
    <t>Felipe Caicedo - 13</t>
  </si>
  <si>
    <t>Antoine Griezmann, Xabi Prieto... - 7</t>
  </si>
  <si>
    <t>Manu del Moral - 9</t>
  </si>
  <si>
    <t>Jordi Codina</t>
  </si>
  <si>
    <t>Pierre Webó - 11</t>
  </si>
  <si>
    <t>Adrián López - 8</t>
  </si>
  <si>
    <t>David Trezeguet - 12</t>
  </si>
  <si>
    <t>Juan Calatayud</t>
  </si>
  <si>
    <t>Pablo Piatti - 8</t>
  </si>
  <si>
    <t>Gonzalo Higuaín - 27</t>
  </si>
  <si>
    <t>David Villa - 21</t>
  </si>
  <si>
    <t>César Sánchez</t>
  </si>
  <si>
    <t>Luís Fabiano - 15</t>
  </si>
  <si>
    <t>Aritz Aduriz - 12</t>
  </si>
  <si>
    <t>Roberto Soldado - 16</t>
  </si>
  <si>
    <t>Nilmar - 11</t>
  </si>
  <si>
    <t>Fernando Llorente - 14</t>
  </si>
  <si>
    <t>Diego Forlán - 18</t>
  </si>
  <si>
    <t>Riki - 8</t>
  </si>
  <si>
    <t>Dani Osvaldo - 7</t>
  </si>
  <si>
    <t>Walter Pandiani - 11</t>
  </si>
  <si>
    <t>Kalu Uche - 9</t>
  </si>
  <si>
    <t>Adrián Colunga - 7</t>
  </si>
  <si>
    <t>Juan Pablo Carrizo</t>
  </si>
  <si>
    <t>Diego Castro - 10</t>
  </si>
  <si>
    <t>Mohamed Tchité - 11</t>
  </si>
  <si>
    <t>Fabio Coltorti</t>
  </si>
  <si>
    <t>Duda - 8</t>
  </si>
  <si>
    <t>Diego Costa - 8</t>
  </si>
  <si>
    <t>Justo Villar</t>
  </si>
  <si>
    <t>Nino - 14</t>
  </si>
  <si>
    <t>Sergio Aragoneses</t>
  </si>
  <si>
    <t>Mario Bermejo - 12</t>
  </si>
  <si>
    <t>Renan Brito Soares</t>
  </si>
  <si>
    <t>Relegat</t>
  </si>
  <si>
    <t>Samuel Eto'o - 30</t>
  </si>
  <si>
    <t>Gonzalo Higuaín - 22</t>
  </si>
  <si>
    <t>Frédéric Kanouté - 18</t>
  </si>
  <si>
    <t>Diego Forlán - 32</t>
  </si>
  <si>
    <t>Joseba Llorente - 15</t>
  </si>
  <si>
    <t>David Villa - 28</t>
  </si>
  <si>
    <t>Ángel Lafita - 8</t>
  </si>
  <si>
    <t>Apoño, Nabil Baha - 9</t>
  </si>
  <si>
    <t>Iñaki Goitia</t>
  </si>
  <si>
    <t>Aritz Aduriz - 11</t>
  </si>
  <si>
    <t>Raúl Tamudo - 6</t>
  </si>
  <si>
    <t>Álvaro Negredo - 19</t>
  </si>
  <si>
    <t>Nikola Žigić - 13</t>
  </si>
  <si>
    <t>→ Europa League via cup loss 2</t>
  </si>
  <si>
    <t>Mate Bilić - 11</t>
  </si>
  <si>
    <t>Henok Goitom - 10</t>
  </si>
  <si>
    <t>Roberto Soldado - 13</t>
  </si>
  <si>
    <t>Jacobo</t>
  </si>
  <si>
    <t>Achille Emaná - 11</t>
  </si>
  <si>
    <t>José Barkero - 12</t>
  </si>
  <si>
    <t>Adrián Colunga, Javier Camuñas - 10</t>
  </si>
  <si>
    <t>Raúl - 18</t>
  </si>
  <si>
    <t>Nihat Kahveci - 18</t>
  </si>
  <si>
    <t>Samuel Eto'o - 16</t>
  </si>
  <si>
    <t>Christian Abbiati</t>
  </si>
  <si>
    <t>Luís Fabiano - 24</t>
  </si>
  <si>
    <t>→ UEFA Cup via league finish</t>
  </si>
  <si>
    <t>Mohamed Tchité - 8</t>
  </si>
  <si>
    <t>Dani Güiza - 27</t>
  </si>
  <si>
    <t>Álvaro Negredo - 12</t>
  </si>
  <si>
    <t>Xisco - 9</t>
  </si>
  <si>
    <t>→ UEFA Intertoto Cup via league finish</t>
  </si>
  <si>
    <t>David Villa - 18</t>
  </si>
  <si>
    <t>Timo Hildebrand</t>
  </si>
  <si>
    <t>→ UEFA Cup via cup win 1</t>
  </si>
  <si>
    <t>Fernando Llorente - 11</t>
  </si>
  <si>
    <t>Armando</t>
  </si>
  <si>
    <t>Luis García - 13</t>
  </si>
  <si>
    <t>Edu - 12</t>
  </si>
  <si>
    <t>Juan Ángel Albín, Manu del Moral - 7</t>
  </si>
  <si>
    <t>Pato Abbondanzieri</t>
  </si>
  <si>
    <t>Joseba Llorente - 17</t>
  </si>
  <si>
    <t>Florent Sinama Pongolle - 10</t>
  </si>
  <si>
    <t>Stefano Sorrentino</t>
  </si>
  <si>
    <t>Dady - 7</t>
  </si>
  <si>
    <t>Ricardo Oliveira - 17</t>
  </si>
  <si>
    <t>Iván Alonso - 10</t>
  </si>
  <si>
    <t>Antonio Notario</t>
  </si>
  <si>
    <t>Riga Mustapha - 8</t>
  </si>
  <si>
    <t>Marco Storari</t>
  </si>
  <si>
    <t>Ruud van Nistelrooy - 25</t>
  </si>
  <si>
    <t>Ronaldinho - 21</t>
  </si>
  <si>
    <t>Frédéric Kanouté - 21</t>
  </si>
  <si>
    <t>David Villa - 16</t>
  </si>
  <si>
    <t>Santiago Cañizares</t>
  </si>
  <si>
    <t>Diego Forlán - 19</t>
  </si>
  <si>
    <t>Sebastián Viera</t>
  </si>
  <si>
    <t>Diego Milito - 23</t>
  </si>
  <si>
    <t>Fernando Torres - 15</t>
  </si>
  <si>
    <t>Florent Sinama Pongolle - 12</t>
  </si>
  <si>
    <t>Javier López Vallejo</t>
  </si>
  <si>
    <t>Dani Güiza - 11</t>
  </si>
  <si>
    <t>→ UEFA Cup via cup loss 1</t>
  </si>
  <si>
    <t>Nikola Žigić - 11</t>
  </si>
  <si>
    <t>Raúl Tamudo - 15</t>
  </si>
  <si>
    <t>Boško Janković, Juan Arango - 9</t>
  </si>
  <si>
    <t>Toni Prats</t>
  </si>
  <si>
    <t>Javier Arizmendi - 5</t>
  </si>
  <si>
    <t>Roberto Soldado - 11</t>
  </si>
  <si>
    <t>Riga Mustapha - 9</t>
  </si>
  <si>
    <t>José Molina</t>
  </si>
  <si>
    <t>Robert - 9</t>
  </si>
  <si>
    <t>Toni Doblas</t>
  </si>
  <si>
    <t>Aritz Aduriz - 9</t>
  </si>
  <si>
    <t>Fernando Baiano - 15</t>
  </si>
  <si>
    <t>José Manuel Pinto</t>
  </si>
  <si>
    <t>Sávio - 5</t>
  </si>
  <si>
    <t>Javier Portillo - 11</t>
  </si>
  <si>
    <t>Albano Bizzarri</t>
  </si>
  <si>
    <t>Releg</t>
  </si>
  <si>
    <t>Samuel Eto'o - 26</t>
  </si>
  <si>
    <t>Ronaldo - 14</t>
  </si>
  <si>
    <t>David Villa - 25</t>
  </si>
  <si>
    <t>Savo Milošević - 11</t>
  </si>
  <si>
    <t>Javier Saviola - 9</t>
  </si>
  <si>
    <t>Fernando Baiano - 13</t>
  </si>
  <si>
    <t>Juan Román Riquelme - 12</t>
  </si>
  <si>
    <t>Diego Tristán - 11</t>
  </si>
  <si>
    <t>Veljko Paunović, Mariano Pernía - 10</t>
  </si>
  <si>
    <t>Luis García</t>
  </si>
  <si>
    <t>Fernando Torres - 13</t>
  </si>
  <si>
    <t>Diego Milito - 15</t>
  </si>
  <si>
    <t>Aritz Aduriz - 6</t>
  </si>
  <si>
    <t>Iñaki Lafuente</t>
  </si>
  <si>
    <t>Juan Arango - 11</t>
  </si>
  <si>
    <t>Robert - 7</t>
  </si>
  <si>
    <t>Luis García, Raúl Tamudo - 10</t>
  </si>
  <si>
    <t>Xabi Prieto - 9</t>
  </si>
  <si>
    <t>Antoñito - 9</t>
  </si>
  <si>
    <t>John Aloisi - 10</t>
  </si>
  <si>
    <t>Franco Costanzo</t>
  </si>
  <si>
    <t>Jonathan Sesma, Lucas Lobos - 7</t>
  </si>
  <si>
    <t>Salva Ballesta - 6</t>
  </si>
  <si>
    <t>Francesc Arnau</t>
  </si>
  <si>
    <t>Fernando Teixeira</t>
  </si>
  <si>
    <t>José Teixeira</t>
  </si>
  <si>
    <t>Leg 2 of 2; Espanyol won</t>
  </si>
  <si>
    <t>ETQ</t>
  </si>
  <si>
    <t>Manager Change</t>
  </si>
  <si>
    <t xml:space="preserve">    Atlético Madrid</t>
  </si>
  <si>
    <t xml:space="preserve">    Barcelona</t>
  </si>
  <si>
    <t xml:space="preserve">    Real Madrid</t>
  </si>
  <si>
    <t xml:space="preserve">    Athletic Club</t>
  </si>
  <si>
    <t xml:space="preserve">    Sevilla</t>
  </si>
  <si>
    <t xml:space="preserve">    Villarreal</t>
  </si>
  <si>
    <t xml:space="preserve">    Real Sociedad</t>
  </si>
  <si>
    <t xml:space="preserve">    Valencia</t>
  </si>
  <si>
    <t xml:space="preserve">    Celta Vigo</t>
  </si>
  <si>
    <t xml:space="preserve">    Levante</t>
  </si>
  <si>
    <t xml:space="preserve">    Málaga</t>
  </si>
  <si>
    <t xml:space="preserve">    Rayo Vallecano</t>
  </si>
  <si>
    <t xml:space="preserve">    Getafe</t>
  </si>
  <si>
    <t xml:space="preserve">    Espanyol</t>
  </si>
  <si>
    <t xml:space="preserve">    Granada</t>
  </si>
  <si>
    <t xml:space="preserve">    Elche</t>
  </si>
  <si>
    <t xml:space="preserve">    Almería</t>
  </si>
  <si>
    <t xml:space="preserve">    Osasuna</t>
  </si>
  <si>
    <t xml:space="preserve">    Valladolid</t>
  </si>
  <si>
    <t xml:space="preserve">    Betis</t>
  </si>
  <si>
    <t xml:space="preserve">    Mallorca</t>
  </si>
  <si>
    <t xml:space="preserve">    La Coruña</t>
  </si>
  <si>
    <t xml:space="preserve">    Zaragoza</t>
  </si>
  <si>
    <t xml:space="preserve">    Sporting Gijón</t>
  </si>
  <si>
    <t xml:space="preserve">    Racing Sant</t>
  </si>
  <si>
    <t xml:space="preserve">    Hércules</t>
  </si>
  <si>
    <t xml:space="preserve">    Tenerife</t>
  </si>
  <si>
    <t xml:space="preserve">    Xerez</t>
  </si>
  <si>
    <t xml:space="preserve">    Numancia</t>
  </si>
  <si>
    <t xml:space="preserve">    Recreativo</t>
  </si>
  <si>
    <t xml:space="preserve">    Real Murcia</t>
  </si>
  <si>
    <t xml:space="preserve">    Gimnàstic</t>
  </si>
  <si>
    <t xml:space="preserve">    Alavés</t>
  </si>
  <si>
    <t xml:space="preserve">    Cádiz</t>
  </si>
  <si>
    <t>2004-05</t>
  </si>
  <si>
    <t>2003-04</t>
  </si>
  <si>
    <t>2002-03</t>
  </si>
  <si>
    <t>2001-02</t>
  </si>
  <si>
    <t>2000-01</t>
  </si>
  <si>
    <t>1998-99</t>
  </si>
  <si>
    <t>1997-98</t>
  </si>
  <si>
    <t>1999-00</t>
  </si>
  <si>
    <t>1996-97</t>
  </si>
  <si>
    <t>1995-96</t>
  </si>
  <si>
    <t>1994-95</t>
  </si>
  <si>
    <t>1993-94</t>
  </si>
  <si>
    <t>1992-93</t>
  </si>
  <si>
    <t>1991-92</t>
  </si>
  <si>
    <t>1990-91</t>
  </si>
  <si>
    <t>1989-90</t>
  </si>
  <si>
    <t>1988-89</t>
  </si>
  <si>
    <t>Partition</t>
  </si>
  <si>
    <t>$L-Manager Change</t>
  </si>
  <si>
    <t>$LP-Manager Change</t>
  </si>
  <si>
    <t>$LP-0</t>
  </si>
  <si>
    <t>$LP-1</t>
  </si>
  <si>
    <t>1_Training</t>
  </si>
  <si>
    <t>2_Testing</t>
  </si>
  <si>
    <t>Winning Season Average Pts/MP</t>
  </si>
  <si>
    <t>Total Pts/M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</si>
</sst>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6" tint="0.59999389629810485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1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33" borderId="0" xfId="0" applyFill="1"/>
    <xf numFmtId="164" fontId="0" fillId="0" borderId="0" xfId="0" applyNumberFormat="1"/>
    <xf numFmtId="164" fontId="0" fillId="34" borderId="0" xfId="0" applyNumberFormat="1" applyFill="1"/>
    <xf numFmtId="0" fontId="0" fillId="34" borderId="0" xfId="0" applyFill="1"/>
    <xf numFmtId="3" fontId="0" fillId="34" borderId="0" xfId="0" applyNumberFormat="1" applyFill="1"/>
    <xf numFmtId="14" fontId="0" fillId="34" borderId="0" xfId="0" applyNumberFormat="1" applyFill="1"/>
    <xf numFmtId="0" fontId="0" fillId="34" borderId="10" xfId="0" applyFill="1" applyBorder="1"/>
    <xf numFmtId="14" fontId="0" fillId="34" borderId="10" xfId="0" applyNumberFormat="1" applyFill="1" applyBorder="1"/>
    <xf numFmtId="0" fontId="0" fillId="0" borderId="10" xfId="0" applyBorder="1"/>
    <xf numFmtId="14" fontId="0" fillId="0" borderId="10" xfId="0" applyNumberFormat="1" applyBorder="1"/>
    <xf numFmtId="164" fontId="0" fillId="0" borderId="10" xfId="0" applyNumberFormat="1" applyBorder="1"/>
    <xf numFmtId="164" fontId="0" fillId="35" borderId="0" xfId="0" applyNumberFormat="1" applyFill="1"/>
    <xf numFmtId="0" fontId="0" fillId="35" borderId="0" xfId="0" applyFill="1"/>
    <xf numFmtId="3" fontId="0" fillId="35" borderId="0" xfId="0" applyNumberFormat="1" applyFill="1"/>
    <xf numFmtId="14" fontId="0" fillId="35" borderId="0" xfId="0" applyNumberFormat="1" applyFill="1"/>
    <xf numFmtId="164" fontId="0" fillId="36" borderId="10" xfId="0" applyNumberFormat="1" applyFill="1" applyBorder="1"/>
    <xf numFmtId="0" fontId="0" fillId="36" borderId="10" xfId="0" applyFill="1" applyBorder="1"/>
    <xf numFmtId="0" fontId="0" fillId="36" borderId="0" xfId="0" applyFill="1"/>
    <xf numFmtId="14" fontId="0" fillId="36" borderId="0" xfId="0" applyNumberFormat="1" applyFill="1"/>
    <xf numFmtId="164" fontId="0" fillId="36" borderId="0" xfId="0" applyNumberFormat="1" applyFill="1"/>
    <xf numFmtId="164" fontId="0" fillId="37" borderId="0" xfId="0" applyNumberFormat="1" applyFill="1"/>
    <xf numFmtId="0" fontId="0" fillId="37" borderId="0" xfId="0" applyFill="1"/>
    <xf numFmtId="14" fontId="0" fillId="37" borderId="0" xfId="0" applyNumberFormat="1" applyFill="1"/>
    <xf numFmtId="3" fontId="0" fillId="37" borderId="0" xfId="0" applyNumberFormat="1" applyFill="1"/>
    <xf numFmtId="164" fontId="0" fillId="38" borderId="0" xfId="0" applyNumberFormat="1" applyFill="1"/>
    <xf numFmtId="0" fontId="0" fillId="38" borderId="0" xfId="0" applyFill="1"/>
    <xf numFmtId="3" fontId="0" fillId="38" borderId="0" xfId="0" applyNumberFormat="1" applyFill="1"/>
    <xf numFmtId="14" fontId="0" fillId="38" borderId="0" xfId="0" applyNumberFormat="1" applyFill="1"/>
    <xf numFmtId="164" fontId="0" fillId="39" borderId="0" xfId="0" applyNumberFormat="1" applyFill="1"/>
    <xf numFmtId="0" fontId="0" fillId="39" borderId="0" xfId="0" applyFill="1"/>
    <xf numFmtId="3" fontId="0" fillId="39" borderId="0" xfId="0" applyNumberFormat="1" applyFill="1"/>
    <xf numFmtId="14" fontId="0" fillId="39" borderId="0" xfId="0" applyNumberFormat="1" applyFill="1"/>
    <xf numFmtId="164" fontId="16" fillId="0" borderId="0" xfId="0" applyNumberFormat="1" applyFont="1"/>
    <xf numFmtId="0" fontId="16" fillId="0" borderId="0" xfId="0" applyFont="1"/>
    <xf numFmtId="164" fontId="18" fillId="0" borderId="0" xfId="0" applyNumberFormat="1" applyFont="1"/>
    <xf numFmtId="0" fontId="18" fillId="0" borderId="0" xfId="0" applyFont="1"/>
    <xf numFmtId="3" fontId="18" fillId="0" borderId="0" xfId="0" applyNumberFormat="1" applyFont="1"/>
    <xf numFmtId="164" fontId="0" fillId="38" borderId="10" xfId="0" applyNumberFormat="1" applyFill="1" applyBorder="1"/>
    <xf numFmtId="0" fontId="0" fillId="38" borderId="10" xfId="0" applyFill="1" applyBorder="1"/>
    <xf numFmtId="3" fontId="0" fillId="38" borderId="10" xfId="0" applyNumberFormat="1" applyFill="1" applyBorder="1"/>
    <xf numFmtId="14" fontId="0" fillId="40" borderId="0" xfId="0" applyNumberFormat="1" applyFill="1"/>
    <xf numFmtId="0" fontId="0" fillId="40" borderId="0" xfId="0" applyFill="1"/>
    <xf numFmtId="3" fontId="0" fillId="40" borderId="0" xfId="0" applyNumberFormat="1" applyFill="1"/>
    <xf numFmtId="164" fontId="0" fillId="40" borderId="0" xfId="0" applyNumberFormat="1" applyFill="1"/>
    <xf numFmtId="164" fontId="0" fillId="41" borderId="0" xfId="0" applyNumberFormat="1" applyFill="1"/>
    <xf numFmtId="0" fontId="0" fillId="41" borderId="0" xfId="0" applyFill="1"/>
    <xf numFmtId="3" fontId="0" fillId="41" borderId="0" xfId="0" applyNumberFormat="1" applyFill="1"/>
    <xf numFmtId="14" fontId="0" fillId="41" borderId="0" xfId="0" applyNumberFormat="1" applyFill="1"/>
    <xf numFmtId="3" fontId="0" fillId="0" borderId="10" xfId="0" applyNumberFormat="1" applyBorder="1"/>
    <xf numFmtId="3" fontId="0" fillId="41" borderId="10" xfId="0" applyNumberFormat="1" applyFill="1" applyBorder="1"/>
    <xf numFmtId="0" fontId="0" fillId="42" borderId="0" xfId="0" applyFill="1"/>
    <xf numFmtId="3" fontId="0" fillId="42" borderId="0" xfId="0" applyNumberFormat="1" applyFill="1"/>
    <xf numFmtId="0" fontId="0" fillId="43" borderId="0" xfId="0" applyFill="1"/>
    <xf numFmtId="3" fontId="0" fillId="43" borderId="0" xfId="0" applyNumberFormat="1" applyFill="1"/>
    <xf numFmtId="0" fontId="0" fillId="44" borderId="0" xfId="0" applyFill="1"/>
    <xf numFmtId="1" fontId="0" fillId="0" borderId="0" xfId="0" applyNumberFormat="1"/>
    <xf numFmtId="1" fontId="16" fillId="0" borderId="0" xfId="0" applyNumberFormat="1" applyFont="1"/>
    <xf numFmtId="1" fontId="0" fillId="33" borderId="0" xfId="0" applyNumberFormat="1" applyFill="1"/>
    <xf numFmtId="0" fontId="0" fillId="0" borderId="11" xfId="0" applyBorder="1"/>
    <xf numFmtId="0" fontId="0" fillId="0" borderId="12" xfId="0" applyBorder="1"/>
    <xf numFmtId="0" fontId="16" fillId="0" borderId="13" xfId="0" applyFont="1" applyBorder="1"/>
    <xf numFmtId="0" fontId="16" fillId="0" borderId="14" xfId="0" applyFont="1" applyBorder="1"/>
    <xf numFmtId="0" fontId="0" fillId="0" borderId="15" xfId="0" applyBorder="1"/>
    <xf numFmtId="0" fontId="0" fillId="0" borderId="16" xfId="0" applyBorder="1"/>
    <xf numFmtId="16" fontId="0" fillId="0" borderId="15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Valencia</a:t>
            </a:r>
            <a:r>
              <a:rPr lang="en-US" baseline="0"/>
              <a:t> CF Manager xG &amp; GF Summer17 -Summer19'  </a:t>
            </a:r>
            <a:endParaRPr lang="en-US"/>
          </a:p>
        </c:rich>
      </c:tx>
      <c:layout>
        <c:manualLayout>
          <c:xMode val="edge"/>
          <c:yMode val="edge"/>
          <c:x val="0.12233033932135728"/>
          <c:y val="2.1299254526091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80567597589627"/>
          <c:y val="0.12628532516172966"/>
          <c:w val="0.67697936634325206"/>
          <c:h val="0.67066506880715493"/>
        </c:manualLayout>
      </c:layout>
      <c:lineChart>
        <c:grouping val="stacked"/>
        <c:varyColors val="0"/>
        <c:ser>
          <c:idx val="0"/>
          <c:order val="0"/>
          <c:tx>
            <c:strRef>
              <c:f>'Val 2017-18'!$F$7</c:f>
              <c:strCache>
                <c:ptCount val="1"/>
                <c:pt idx="0">
                  <c:v>xG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'Val 2017-18'!$A$8:$A$116</c:f>
              <c:numCache>
                <c:formatCode>[$-409]mmm\-yy;@</c:formatCode>
                <c:ptCount val="109"/>
                <c:pt idx="0">
                  <c:v>42965</c:v>
                </c:pt>
                <c:pt idx="1">
                  <c:v>42974</c:v>
                </c:pt>
                <c:pt idx="2">
                  <c:v>42987</c:v>
                </c:pt>
                <c:pt idx="3">
                  <c:v>42994</c:v>
                </c:pt>
                <c:pt idx="4">
                  <c:v>42997</c:v>
                </c:pt>
                <c:pt idx="5">
                  <c:v>43002</c:v>
                </c:pt>
                <c:pt idx="6">
                  <c:v>43009</c:v>
                </c:pt>
                <c:pt idx="7">
                  <c:v>43023</c:v>
                </c:pt>
                <c:pt idx="8">
                  <c:v>43029</c:v>
                </c:pt>
                <c:pt idx="9">
                  <c:v>43032</c:v>
                </c:pt>
                <c:pt idx="10">
                  <c:v>43036</c:v>
                </c:pt>
                <c:pt idx="11">
                  <c:v>43043</c:v>
                </c:pt>
                <c:pt idx="12">
                  <c:v>43058</c:v>
                </c:pt>
                <c:pt idx="13">
                  <c:v>43065</c:v>
                </c:pt>
                <c:pt idx="14">
                  <c:v>43069</c:v>
                </c:pt>
                <c:pt idx="15">
                  <c:v>43072</c:v>
                </c:pt>
                <c:pt idx="16">
                  <c:v>43078</c:v>
                </c:pt>
                <c:pt idx="17">
                  <c:v>43085</c:v>
                </c:pt>
                <c:pt idx="18">
                  <c:v>43092</c:v>
                </c:pt>
                <c:pt idx="19">
                  <c:v>43103</c:v>
                </c:pt>
                <c:pt idx="20">
                  <c:v>43106</c:v>
                </c:pt>
                <c:pt idx="21">
                  <c:v>43109</c:v>
                </c:pt>
                <c:pt idx="22">
                  <c:v>43113</c:v>
                </c:pt>
                <c:pt idx="23">
                  <c:v>43117</c:v>
                </c:pt>
                <c:pt idx="24">
                  <c:v>43120</c:v>
                </c:pt>
                <c:pt idx="25">
                  <c:v>43124</c:v>
                </c:pt>
                <c:pt idx="26">
                  <c:v>43127</c:v>
                </c:pt>
                <c:pt idx="27">
                  <c:v>43132</c:v>
                </c:pt>
                <c:pt idx="28">
                  <c:v>43135</c:v>
                </c:pt>
                <c:pt idx="29">
                  <c:v>43139</c:v>
                </c:pt>
                <c:pt idx="30">
                  <c:v>43142</c:v>
                </c:pt>
                <c:pt idx="31">
                  <c:v>43148</c:v>
                </c:pt>
                <c:pt idx="32">
                  <c:v>43156</c:v>
                </c:pt>
                <c:pt idx="33">
                  <c:v>43159</c:v>
                </c:pt>
                <c:pt idx="34">
                  <c:v>43163</c:v>
                </c:pt>
                <c:pt idx="35">
                  <c:v>43169</c:v>
                </c:pt>
                <c:pt idx="36">
                  <c:v>43176</c:v>
                </c:pt>
                <c:pt idx="37">
                  <c:v>43191</c:v>
                </c:pt>
                <c:pt idx="38">
                  <c:v>43198</c:v>
                </c:pt>
                <c:pt idx="39">
                  <c:v>43204</c:v>
                </c:pt>
                <c:pt idx="40">
                  <c:v>43208</c:v>
                </c:pt>
                <c:pt idx="41">
                  <c:v>43211</c:v>
                </c:pt>
                <c:pt idx="42">
                  <c:v>43219</c:v>
                </c:pt>
                <c:pt idx="43">
                  <c:v>43225</c:v>
                </c:pt>
                <c:pt idx="44">
                  <c:v>43232</c:v>
                </c:pt>
                <c:pt idx="45">
                  <c:v>43240</c:v>
                </c:pt>
                <c:pt idx="46">
                  <c:v>43332</c:v>
                </c:pt>
                <c:pt idx="47">
                  <c:v>43338</c:v>
                </c:pt>
                <c:pt idx="48">
                  <c:v>43345</c:v>
                </c:pt>
                <c:pt idx="49">
                  <c:v>43358</c:v>
                </c:pt>
                <c:pt idx="50">
                  <c:v>43362</c:v>
                </c:pt>
                <c:pt idx="51">
                  <c:v>43366</c:v>
                </c:pt>
                <c:pt idx="52">
                  <c:v>43369</c:v>
                </c:pt>
                <c:pt idx="53">
                  <c:v>43372</c:v>
                </c:pt>
                <c:pt idx="54">
                  <c:v>43375</c:v>
                </c:pt>
                <c:pt idx="55">
                  <c:v>43380</c:v>
                </c:pt>
                <c:pt idx="56">
                  <c:v>43393</c:v>
                </c:pt>
                <c:pt idx="57">
                  <c:v>43396</c:v>
                </c:pt>
                <c:pt idx="58">
                  <c:v>43400</c:v>
                </c:pt>
                <c:pt idx="59">
                  <c:v>43403</c:v>
                </c:pt>
                <c:pt idx="60">
                  <c:v>43407</c:v>
                </c:pt>
                <c:pt idx="61">
                  <c:v>43411</c:v>
                </c:pt>
                <c:pt idx="62">
                  <c:v>43414</c:v>
                </c:pt>
                <c:pt idx="63">
                  <c:v>43428</c:v>
                </c:pt>
                <c:pt idx="64">
                  <c:v>43431</c:v>
                </c:pt>
                <c:pt idx="65">
                  <c:v>43435</c:v>
                </c:pt>
                <c:pt idx="66">
                  <c:v>43438</c:v>
                </c:pt>
                <c:pt idx="67">
                  <c:v>43442</c:v>
                </c:pt>
                <c:pt idx="68">
                  <c:v>43446</c:v>
                </c:pt>
                <c:pt idx="69">
                  <c:v>43449</c:v>
                </c:pt>
                <c:pt idx="70">
                  <c:v>43457</c:v>
                </c:pt>
                <c:pt idx="71">
                  <c:v>43470</c:v>
                </c:pt>
                <c:pt idx="72">
                  <c:v>43473</c:v>
                </c:pt>
                <c:pt idx="73">
                  <c:v>43477</c:v>
                </c:pt>
                <c:pt idx="74">
                  <c:v>43480</c:v>
                </c:pt>
                <c:pt idx="75">
                  <c:v>43484</c:v>
                </c:pt>
                <c:pt idx="76">
                  <c:v>43487</c:v>
                </c:pt>
                <c:pt idx="77">
                  <c:v>43491</c:v>
                </c:pt>
                <c:pt idx="78">
                  <c:v>43494</c:v>
                </c:pt>
                <c:pt idx="79">
                  <c:v>43498</c:v>
                </c:pt>
                <c:pt idx="80">
                  <c:v>43503</c:v>
                </c:pt>
                <c:pt idx="81">
                  <c:v>43506</c:v>
                </c:pt>
                <c:pt idx="82">
                  <c:v>43510</c:v>
                </c:pt>
                <c:pt idx="83">
                  <c:v>43513</c:v>
                </c:pt>
                <c:pt idx="84">
                  <c:v>43517</c:v>
                </c:pt>
                <c:pt idx="85">
                  <c:v>43520</c:v>
                </c:pt>
                <c:pt idx="86">
                  <c:v>43524</c:v>
                </c:pt>
                <c:pt idx="87">
                  <c:v>43527</c:v>
                </c:pt>
                <c:pt idx="88">
                  <c:v>43531</c:v>
                </c:pt>
                <c:pt idx="89">
                  <c:v>43534</c:v>
                </c:pt>
                <c:pt idx="90">
                  <c:v>43538</c:v>
                </c:pt>
                <c:pt idx="91">
                  <c:v>43541</c:v>
                </c:pt>
                <c:pt idx="92">
                  <c:v>43555</c:v>
                </c:pt>
                <c:pt idx="93">
                  <c:v>43558</c:v>
                </c:pt>
                <c:pt idx="94">
                  <c:v>43561</c:v>
                </c:pt>
                <c:pt idx="95">
                  <c:v>43566</c:v>
                </c:pt>
                <c:pt idx="96">
                  <c:v>43569</c:v>
                </c:pt>
                <c:pt idx="97">
                  <c:v>43573</c:v>
                </c:pt>
                <c:pt idx="98">
                  <c:v>43576</c:v>
                </c:pt>
                <c:pt idx="99">
                  <c:v>43579</c:v>
                </c:pt>
                <c:pt idx="100">
                  <c:v>43583</c:v>
                </c:pt>
                <c:pt idx="101">
                  <c:v>43587</c:v>
                </c:pt>
                <c:pt idx="102">
                  <c:v>43590</c:v>
                </c:pt>
                <c:pt idx="103">
                  <c:v>43594</c:v>
                </c:pt>
                <c:pt idx="104">
                  <c:v>43597</c:v>
                </c:pt>
                <c:pt idx="105">
                  <c:v>43603</c:v>
                </c:pt>
                <c:pt idx="106">
                  <c:v>43610</c:v>
                </c:pt>
                <c:pt idx="107">
                  <c:v>43694</c:v>
                </c:pt>
                <c:pt idx="108">
                  <c:v>43701</c:v>
                </c:pt>
              </c:numCache>
            </c:numRef>
          </c:cat>
          <c:val>
            <c:numRef>
              <c:f>'Val 2017-18'!$F$8:$F$116</c:f>
              <c:numCache>
                <c:formatCode>General</c:formatCode>
                <c:ptCount val="109"/>
                <c:pt idx="0">
                  <c:v>1.4</c:v>
                </c:pt>
                <c:pt idx="1">
                  <c:v>0.9</c:v>
                </c:pt>
                <c:pt idx="2">
                  <c:v>0.5</c:v>
                </c:pt>
                <c:pt idx="3">
                  <c:v>1.7</c:v>
                </c:pt>
                <c:pt idx="4">
                  <c:v>3</c:v>
                </c:pt>
                <c:pt idx="5">
                  <c:v>1.8</c:v>
                </c:pt>
                <c:pt idx="6">
                  <c:v>2.6</c:v>
                </c:pt>
                <c:pt idx="7">
                  <c:v>1.7</c:v>
                </c:pt>
                <c:pt idx="8">
                  <c:v>2.2000000000000002</c:v>
                </c:pt>
                <c:pt idx="10">
                  <c:v>1</c:v>
                </c:pt>
                <c:pt idx="11">
                  <c:v>2.2000000000000002</c:v>
                </c:pt>
                <c:pt idx="12">
                  <c:v>1</c:v>
                </c:pt>
                <c:pt idx="13">
                  <c:v>1.2</c:v>
                </c:pt>
                <c:pt idx="15">
                  <c:v>0.9</c:v>
                </c:pt>
                <c:pt idx="16">
                  <c:v>1.6</c:v>
                </c:pt>
                <c:pt idx="17">
                  <c:v>0.9</c:v>
                </c:pt>
                <c:pt idx="18">
                  <c:v>1.9</c:v>
                </c:pt>
                <c:pt idx="20">
                  <c:v>1.7</c:v>
                </c:pt>
                <c:pt idx="22">
                  <c:v>0.5</c:v>
                </c:pt>
                <c:pt idx="24">
                  <c:v>1.7</c:v>
                </c:pt>
                <c:pt idx="26">
                  <c:v>1.1000000000000001</c:v>
                </c:pt>
                <c:pt idx="28">
                  <c:v>0.4</c:v>
                </c:pt>
                <c:pt idx="30">
                  <c:v>3.5</c:v>
                </c:pt>
                <c:pt idx="31">
                  <c:v>1.2</c:v>
                </c:pt>
                <c:pt idx="32">
                  <c:v>1.6</c:v>
                </c:pt>
                <c:pt idx="33">
                  <c:v>0.2</c:v>
                </c:pt>
                <c:pt idx="34">
                  <c:v>1.3</c:v>
                </c:pt>
                <c:pt idx="35">
                  <c:v>1.3</c:v>
                </c:pt>
                <c:pt idx="36">
                  <c:v>2.8</c:v>
                </c:pt>
                <c:pt idx="37">
                  <c:v>0.1</c:v>
                </c:pt>
                <c:pt idx="38">
                  <c:v>1.6</c:v>
                </c:pt>
                <c:pt idx="39">
                  <c:v>2.2000000000000002</c:v>
                </c:pt>
                <c:pt idx="40">
                  <c:v>1.1000000000000001</c:v>
                </c:pt>
                <c:pt idx="41">
                  <c:v>2.2999999999999998</c:v>
                </c:pt>
                <c:pt idx="42">
                  <c:v>0.8</c:v>
                </c:pt>
                <c:pt idx="43">
                  <c:v>0.5</c:v>
                </c:pt>
                <c:pt idx="44">
                  <c:v>0.8</c:v>
                </c:pt>
                <c:pt idx="45">
                  <c:v>2.2999999999999998</c:v>
                </c:pt>
                <c:pt idx="46">
                  <c:v>1.1000000000000001</c:v>
                </c:pt>
                <c:pt idx="47">
                  <c:v>1.9</c:v>
                </c:pt>
                <c:pt idx="48">
                  <c:v>4.0999999999999996</c:v>
                </c:pt>
                <c:pt idx="49">
                  <c:v>1</c:v>
                </c:pt>
                <c:pt idx="50">
                  <c:v>2</c:v>
                </c:pt>
                <c:pt idx="51">
                  <c:v>0.4</c:v>
                </c:pt>
                <c:pt idx="52">
                  <c:v>1.1000000000000001</c:v>
                </c:pt>
                <c:pt idx="53">
                  <c:v>0.9</c:v>
                </c:pt>
                <c:pt idx="54">
                  <c:v>0.4</c:v>
                </c:pt>
                <c:pt idx="55">
                  <c:v>1.5</c:v>
                </c:pt>
                <c:pt idx="56">
                  <c:v>1.3</c:v>
                </c:pt>
                <c:pt idx="57">
                  <c:v>0.9</c:v>
                </c:pt>
                <c:pt idx="58">
                  <c:v>0.5</c:v>
                </c:pt>
                <c:pt idx="60">
                  <c:v>2.2999999999999998</c:v>
                </c:pt>
                <c:pt idx="61">
                  <c:v>1.8</c:v>
                </c:pt>
                <c:pt idx="62">
                  <c:v>2.2000000000000002</c:v>
                </c:pt>
                <c:pt idx="63">
                  <c:v>1.9</c:v>
                </c:pt>
                <c:pt idx="64">
                  <c:v>0.3</c:v>
                </c:pt>
                <c:pt idx="65">
                  <c:v>0.8</c:v>
                </c:pt>
                <c:pt idx="67">
                  <c:v>1.2</c:v>
                </c:pt>
                <c:pt idx="68">
                  <c:v>1.4</c:v>
                </c:pt>
                <c:pt idx="69">
                  <c:v>2.1</c:v>
                </c:pt>
                <c:pt idx="70">
                  <c:v>3.2</c:v>
                </c:pt>
                <c:pt idx="71">
                  <c:v>1.1000000000000001</c:v>
                </c:pt>
                <c:pt idx="73">
                  <c:v>3.5</c:v>
                </c:pt>
                <c:pt idx="75">
                  <c:v>1.2</c:v>
                </c:pt>
                <c:pt idx="77">
                  <c:v>1.5</c:v>
                </c:pt>
                <c:pt idx="79">
                  <c:v>3.3</c:v>
                </c:pt>
                <c:pt idx="81">
                  <c:v>1.5</c:v>
                </c:pt>
                <c:pt idx="82">
                  <c:v>1.3</c:v>
                </c:pt>
                <c:pt idx="83">
                  <c:v>1.7</c:v>
                </c:pt>
                <c:pt idx="84">
                  <c:v>2</c:v>
                </c:pt>
                <c:pt idx="85">
                  <c:v>0.5</c:v>
                </c:pt>
                <c:pt idx="87">
                  <c:v>1.3</c:v>
                </c:pt>
                <c:pt idx="88">
                  <c:v>1.7</c:v>
                </c:pt>
                <c:pt idx="89">
                  <c:v>1.2</c:v>
                </c:pt>
                <c:pt idx="90">
                  <c:v>1.7</c:v>
                </c:pt>
                <c:pt idx="91">
                  <c:v>0.6</c:v>
                </c:pt>
                <c:pt idx="92">
                  <c:v>1</c:v>
                </c:pt>
                <c:pt idx="93">
                  <c:v>1.8</c:v>
                </c:pt>
                <c:pt idx="94">
                  <c:v>2.2999999999999998</c:v>
                </c:pt>
                <c:pt idx="95">
                  <c:v>1.8</c:v>
                </c:pt>
                <c:pt idx="96">
                  <c:v>2.4</c:v>
                </c:pt>
                <c:pt idx="97">
                  <c:v>1.1000000000000001</c:v>
                </c:pt>
                <c:pt idx="98">
                  <c:v>0.2</c:v>
                </c:pt>
                <c:pt idx="99">
                  <c:v>2.1</c:v>
                </c:pt>
                <c:pt idx="100">
                  <c:v>0.5</c:v>
                </c:pt>
                <c:pt idx="101">
                  <c:v>2.6</c:v>
                </c:pt>
                <c:pt idx="102">
                  <c:v>2.4</c:v>
                </c:pt>
                <c:pt idx="103">
                  <c:v>2.5</c:v>
                </c:pt>
                <c:pt idx="104">
                  <c:v>1.9</c:v>
                </c:pt>
                <c:pt idx="105">
                  <c:v>1.5</c:v>
                </c:pt>
                <c:pt idx="107">
                  <c:v>2.2999999999999998</c:v>
                </c:pt>
                <c:pt idx="10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5A-4267-94D7-AB739DDAFE49}"/>
            </c:ext>
          </c:extLst>
        </c:ser>
        <c:ser>
          <c:idx val="1"/>
          <c:order val="1"/>
          <c:tx>
            <c:v>Goals For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'Val 2017-18'!$D$7:$D$116</c:f>
              <c:numCache>
                <c:formatCode>General</c:formatCode>
                <c:ptCount val="1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4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4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1</c:v>
                </c:pt>
                <c:pt idx="48">
                  <c:v>0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3</c:v>
                </c:pt>
                <c:pt idx="76">
                  <c:v>2</c:v>
                </c:pt>
                <c:pt idx="77">
                  <c:v>0</c:v>
                </c:pt>
                <c:pt idx="78">
                  <c:v>3</c:v>
                </c:pt>
                <c:pt idx="79">
                  <c:v>3</c:v>
                </c:pt>
                <c:pt idx="80">
                  <c:v>2</c:v>
                </c:pt>
                <c:pt idx="81">
                  <c:v>2</c:v>
                </c:pt>
                <c:pt idx="82">
                  <c:v>0</c:v>
                </c:pt>
                <c:pt idx="83">
                  <c:v>2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3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2</c:v>
                </c:pt>
                <c:pt idx="95">
                  <c:v>0</c:v>
                </c:pt>
                <c:pt idx="96">
                  <c:v>3</c:v>
                </c:pt>
                <c:pt idx="97">
                  <c:v>3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0</c:v>
                </c:pt>
                <c:pt idx="102">
                  <c:v>1</c:v>
                </c:pt>
                <c:pt idx="103">
                  <c:v>6</c:v>
                </c:pt>
                <c:pt idx="104">
                  <c:v>2</c:v>
                </c:pt>
                <c:pt idx="105">
                  <c:v>3</c:v>
                </c:pt>
                <c:pt idx="106">
                  <c:v>2</c:v>
                </c:pt>
                <c:pt idx="107">
                  <c:v>2</c:v>
                </c:pt>
                <c:pt idx="108">
                  <c:v>1</c:v>
                </c:pt>
                <c:pt idx="10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5A-4267-94D7-AB739DDAF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345263"/>
        <c:axId val="758346223"/>
      </c:lineChart>
      <c:dateAx>
        <c:axId val="758345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Marcelino</a:t>
                </a:r>
                <a:r>
                  <a:rPr lang="en-US" baseline="0"/>
                  <a:t>  Garcia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346223"/>
        <c:crosses val="autoZero"/>
        <c:auto val="1"/>
        <c:lblOffset val="100"/>
        <c:baseTimeUnit val="days"/>
      </c:dateAx>
      <c:valAx>
        <c:axId val="758346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</a:t>
                </a:r>
                <a:r>
                  <a:rPr lang="en-US" baseline="0"/>
                  <a:t> Goals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34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Valencia</a:t>
            </a:r>
            <a:r>
              <a:rPr lang="en-US" baseline="0"/>
              <a:t> CF Manager xG &amp; GF Fall 19' - Summer20'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xG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'Val 2019-20'!$A$14:$A$49</c:f>
              <c:numCache>
                <c:formatCode>[$-409]mmm\-yy;@</c:formatCode>
                <c:ptCount val="36"/>
                <c:pt idx="0">
                  <c:v>43740</c:v>
                </c:pt>
                <c:pt idx="1">
                  <c:v>43743</c:v>
                </c:pt>
                <c:pt idx="2">
                  <c:v>43757</c:v>
                </c:pt>
                <c:pt idx="3">
                  <c:v>43761</c:v>
                </c:pt>
                <c:pt idx="4">
                  <c:v>43765</c:v>
                </c:pt>
                <c:pt idx="5">
                  <c:v>43768</c:v>
                </c:pt>
                <c:pt idx="6">
                  <c:v>43771</c:v>
                </c:pt>
                <c:pt idx="7">
                  <c:v>43774</c:v>
                </c:pt>
                <c:pt idx="8">
                  <c:v>43778</c:v>
                </c:pt>
                <c:pt idx="9">
                  <c:v>43792</c:v>
                </c:pt>
                <c:pt idx="10">
                  <c:v>43796</c:v>
                </c:pt>
                <c:pt idx="11">
                  <c:v>43799</c:v>
                </c:pt>
                <c:pt idx="12">
                  <c:v>43806</c:v>
                </c:pt>
                <c:pt idx="13">
                  <c:v>43809</c:v>
                </c:pt>
                <c:pt idx="14">
                  <c:v>43814</c:v>
                </c:pt>
                <c:pt idx="15">
                  <c:v>43820</c:v>
                </c:pt>
                <c:pt idx="16">
                  <c:v>43834</c:v>
                </c:pt>
                <c:pt idx="17">
                  <c:v>43838</c:v>
                </c:pt>
                <c:pt idx="18">
                  <c:v>43849</c:v>
                </c:pt>
                <c:pt idx="19">
                  <c:v>43852</c:v>
                </c:pt>
                <c:pt idx="20">
                  <c:v>43855</c:v>
                </c:pt>
                <c:pt idx="21">
                  <c:v>43859</c:v>
                </c:pt>
                <c:pt idx="22">
                  <c:v>43862</c:v>
                </c:pt>
                <c:pt idx="23">
                  <c:v>43865</c:v>
                </c:pt>
                <c:pt idx="24">
                  <c:v>43869</c:v>
                </c:pt>
                <c:pt idx="25">
                  <c:v>43875</c:v>
                </c:pt>
                <c:pt idx="26">
                  <c:v>43880</c:v>
                </c:pt>
                <c:pt idx="27">
                  <c:v>43883</c:v>
                </c:pt>
                <c:pt idx="28">
                  <c:v>43890</c:v>
                </c:pt>
                <c:pt idx="29">
                  <c:v>43896</c:v>
                </c:pt>
                <c:pt idx="30">
                  <c:v>43900</c:v>
                </c:pt>
                <c:pt idx="31">
                  <c:v>43994</c:v>
                </c:pt>
                <c:pt idx="32">
                  <c:v>44000</c:v>
                </c:pt>
                <c:pt idx="33">
                  <c:v>44003</c:v>
                </c:pt>
                <c:pt idx="34">
                  <c:v>44007</c:v>
                </c:pt>
                <c:pt idx="35">
                  <c:v>44010</c:v>
                </c:pt>
              </c:numCache>
            </c:numRef>
          </c:cat>
          <c:val>
            <c:numRef>
              <c:f>'Val 2019-20'!$F$14:$F$49</c:f>
              <c:numCache>
                <c:formatCode>General</c:formatCode>
                <c:ptCount val="36"/>
                <c:pt idx="0">
                  <c:v>2</c:v>
                </c:pt>
                <c:pt idx="1">
                  <c:v>1.3</c:v>
                </c:pt>
                <c:pt idx="2">
                  <c:v>0.7</c:v>
                </c:pt>
                <c:pt idx="3">
                  <c:v>0.6</c:v>
                </c:pt>
                <c:pt idx="4">
                  <c:v>0.9</c:v>
                </c:pt>
                <c:pt idx="5">
                  <c:v>0.8</c:v>
                </c:pt>
                <c:pt idx="6">
                  <c:v>1.9</c:v>
                </c:pt>
                <c:pt idx="7">
                  <c:v>2.2999999999999998</c:v>
                </c:pt>
                <c:pt idx="8">
                  <c:v>0.7</c:v>
                </c:pt>
                <c:pt idx="9">
                  <c:v>1</c:v>
                </c:pt>
                <c:pt idx="10">
                  <c:v>3.1</c:v>
                </c:pt>
                <c:pt idx="11">
                  <c:v>1.5</c:v>
                </c:pt>
                <c:pt idx="12">
                  <c:v>3</c:v>
                </c:pt>
                <c:pt idx="13">
                  <c:v>1.1000000000000001</c:v>
                </c:pt>
                <c:pt idx="14">
                  <c:v>2.2999999999999998</c:v>
                </c:pt>
                <c:pt idx="15">
                  <c:v>1.2</c:v>
                </c:pt>
                <c:pt idx="16">
                  <c:v>1</c:v>
                </c:pt>
                <c:pt idx="18">
                  <c:v>0.4</c:v>
                </c:pt>
                <c:pt idx="20">
                  <c:v>1.2</c:v>
                </c:pt>
                <c:pt idx="22">
                  <c:v>1</c:v>
                </c:pt>
                <c:pt idx="24">
                  <c:v>0.3</c:v>
                </c:pt>
                <c:pt idx="25">
                  <c:v>1.3</c:v>
                </c:pt>
                <c:pt idx="26">
                  <c:v>2.5</c:v>
                </c:pt>
                <c:pt idx="27">
                  <c:v>0.3</c:v>
                </c:pt>
                <c:pt idx="28">
                  <c:v>1</c:v>
                </c:pt>
                <c:pt idx="29">
                  <c:v>0.7</c:v>
                </c:pt>
                <c:pt idx="30">
                  <c:v>2.2000000000000002</c:v>
                </c:pt>
                <c:pt idx="31">
                  <c:v>1</c:v>
                </c:pt>
                <c:pt idx="32">
                  <c:v>0.2</c:v>
                </c:pt>
                <c:pt idx="33">
                  <c:v>1.5</c:v>
                </c:pt>
                <c:pt idx="34">
                  <c:v>0.4</c:v>
                </c:pt>
                <c:pt idx="3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66-425D-A864-C6D4AF209D6B}"/>
            </c:ext>
          </c:extLst>
        </c:ser>
        <c:ser>
          <c:idx val="1"/>
          <c:order val="1"/>
          <c:tx>
            <c:v>GF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'Val 2019-20'!$D$14:$D$49</c:f>
              <c:numCache>
                <c:formatCode>General</c:formatCode>
                <c:ptCount val="36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1</c:v>
                </c:pt>
                <c:pt idx="27">
                  <c:v>0</c:v>
                </c:pt>
                <c:pt idx="28">
                  <c:v>2</c:v>
                </c:pt>
                <c:pt idx="29">
                  <c:v>1</c:v>
                </c:pt>
                <c:pt idx="30">
                  <c:v>3</c:v>
                </c:pt>
                <c:pt idx="31">
                  <c:v>1</c:v>
                </c:pt>
                <c:pt idx="32">
                  <c:v>0</c:v>
                </c:pt>
                <c:pt idx="33">
                  <c:v>2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66-425D-A864-C6D4AF20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0226303"/>
        <c:axId val="1560226783"/>
      </c:lineChart>
      <c:dateAx>
        <c:axId val="1560226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Albert Caledes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226783"/>
        <c:crosses val="autoZero"/>
        <c:auto val="1"/>
        <c:lblOffset val="100"/>
        <c:baseTimeUnit val="days"/>
      </c:dateAx>
      <c:valAx>
        <c:axId val="156022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</a:t>
                </a:r>
                <a:r>
                  <a:rPr lang="en-US" baseline="0"/>
                  <a:t> Goals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22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Valencia CF Manager xG Summer20'-Spring 21'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'Val 2020-21'!$F$7</c:f>
              <c:strCache>
                <c:ptCount val="1"/>
                <c:pt idx="0">
                  <c:v>xG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'Val 2020-21'!$A$8:$A$55</c:f>
              <c:numCache>
                <c:formatCode>[$-409]mmm\-yy;@</c:formatCode>
                <c:ptCount val="48"/>
                <c:pt idx="0">
                  <c:v>44013</c:v>
                </c:pt>
                <c:pt idx="1">
                  <c:v>44016</c:v>
                </c:pt>
                <c:pt idx="2">
                  <c:v>44019</c:v>
                </c:pt>
                <c:pt idx="3">
                  <c:v>44024</c:v>
                </c:pt>
                <c:pt idx="4">
                  <c:v>44028</c:v>
                </c:pt>
                <c:pt idx="5">
                  <c:v>44031</c:v>
                </c:pt>
                <c:pt idx="6">
                  <c:v>44087</c:v>
                </c:pt>
                <c:pt idx="7">
                  <c:v>44093</c:v>
                </c:pt>
                <c:pt idx="8">
                  <c:v>44100</c:v>
                </c:pt>
                <c:pt idx="9">
                  <c:v>44103</c:v>
                </c:pt>
                <c:pt idx="10">
                  <c:v>44107</c:v>
                </c:pt>
                <c:pt idx="11">
                  <c:v>44122</c:v>
                </c:pt>
                <c:pt idx="12">
                  <c:v>44127</c:v>
                </c:pt>
                <c:pt idx="13">
                  <c:v>44136</c:v>
                </c:pt>
                <c:pt idx="14">
                  <c:v>44143</c:v>
                </c:pt>
                <c:pt idx="15">
                  <c:v>44157</c:v>
                </c:pt>
                <c:pt idx="16">
                  <c:v>44163</c:v>
                </c:pt>
                <c:pt idx="17">
                  <c:v>44172</c:v>
                </c:pt>
                <c:pt idx="18">
                  <c:v>44177</c:v>
                </c:pt>
                <c:pt idx="19">
                  <c:v>44181</c:v>
                </c:pt>
                <c:pt idx="20">
                  <c:v>44184</c:v>
                </c:pt>
                <c:pt idx="21">
                  <c:v>44187</c:v>
                </c:pt>
                <c:pt idx="22">
                  <c:v>44195</c:v>
                </c:pt>
                <c:pt idx="23">
                  <c:v>44200</c:v>
                </c:pt>
                <c:pt idx="24">
                  <c:v>44203</c:v>
                </c:pt>
                <c:pt idx="25">
                  <c:v>44206</c:v>
                </c:pt>
                <c:pt idx="26">
                  <c:v>44213</c:v>
                </c:pt>
                <c:pt idx="27">
                  <c:v>44217</c:v>
                </c:pt>
                <c:pt idx="28">
                  <c:v>44220</c:v>
                </c:pt>
                <c:pt idx="29">
                  <c:v>44223</c:v>
                </c:pt>
                <c:pt idx="30">
                  <c:v>44226</c:v>
                </c:pt>
                <c:pt idx="31">
                  <c:v>44234</c:v>
                </c:pt>
                <c:pt idx="32">
                  <c:v>44241</c:v>
                </c:pt>
                <c:pt idx="33">
                  <c:v>44247</c:v>
                </c:pt>
                <c:pt idx="34">
                  <c:v>44254</c:v>
                </c:pt>
                <c:pt idx="35">
                  <c:v>44260</c:v>
                </c:pt>
                <c:pt idx="36">
                  <c:v>44267</c:v>
                </c:pt>
                <c:pt idx="37">
                  <c:v>44276</c:v>
                </c:pt>
                <c:pt idx="38">
                  <c:v>44290</c:v>
                </c:pt>
                <c:pt idx="39">
                  <c:v>44297</c:v>
                </c:pt>
                <c:pt idx="40">
                  <c:v>44304</c:v>
                </c:pt>
                <c:pt idx="41">
                  <c:v>44307</c:v>
                </c:pt>
                <c:pt idx="42">
                  <c:v>44310</c:v>
                </c:pt>
                <c:pt idx="43">
                  <c:v>44318</c:v>
                </c:pt>
                <c:pt idx="44">
                  <c:v>44325</c:v>
                </c:pt>
                <c:pt idx="45">
                  <c:v>44328</c:v>
                </c:pt>
                <c:pt idx="46">
                  <c:v>44332</c:v>
                </c:pt>
                <c:pt idx="47">
                  <c:v>44338</c:v>
                </c:pt>
              </c:numCache>
            </c:numRef>
          </c:cat>
          <c:val>
            <c:numRef>
              <c:f>'Val 2020-21'!$F$8:$F$55</c:f>
              <c:numCache>
                <c:formatCode>General</c:formatCode>
                <c:ptCount val="48"/>
                <c:pt idx="0">
                  <c:v>1</c:v>
                </c:pt>
                <c:pt idx="1">
                  <c:v>0.7</c:v>
                </c:pt>
                <c:pt idx="2">
                  <c:v>1.1000000000000001</c:v>
                </c:pt>
                <c:pt idx="3">
                  <c:v>1.5</c:v>
                </c:pt>
                <c:pt idx="4">
                  <c:v>1.4</c:v>
                </c:pt>
                <c:pt idx="5">
                  <c:v>0.3</c:v>
                </c:pt>
                <c:pt idx="6">
                  <c:v>1.9</c:v>
                </c:pt>
                <c:pt idx="7">
                  <c:v>0.5</c:v>
                </c:pt>
                <c:pt idx="8">
                  <c:v>0.6</c:v>
                </c:pt>
                <c:pt idx="9">
                  <c:v>0.9</c:v>
                </c:pt>
                <c:pt idx="10">
                  <c:v>0.5</c:v>
                </c:pt>
                <c:pt idx="11">
                  <c:v>0.6</c:v>
                </c:pt>
                <c:pt idx="12">
                  <c:v>1.6</c:v>
                </c:pt>
                <c:pt idx="13">
                  <c:v>1.4</c:v>
                </c:pt>
                <c:pt idx="14">
                  <c:v>2.5</c:v>
                </c:pt>
                <c:pt idx="15">
                  <c:v>1.9</c:v>
                </c:pt>
                <c:pt idx="16">
                  <c:v>0.2</c:v>
                </c:pt>
                <c:pt idx="17">
                  <c:v>0.5</c:v>
                </c:pt>
                <c:pt idx="18">
                  <c:v>1.5</c:v>
                </c:pt>
                <c:pt idx="20">
                  <c:v>1.6</c:v>
                </c:pt>
                <c:pt idx="21">
                  <c:v>0.6</c:v>
                </c:pt>
                <c:pt idx="22">
                  <c:v>1.5</c:v>
                </c:pt>
                <c:pt idx="23">
                  <c:v>0.8</c:v>
                </c:pt>
                <c:pt idx="25">
                  <c:v>1.2</c:v>
                </c:pt>
                <c:pt idx="27">
                  <c:v>0.5</c:v>
                </c:pt>
                <c:pt idx="28">
                  <c:v>0.3</c:v>
                </c:pt>
                <c:pt idx="30">
                  <c:v>2.8</c:v>
                </c:pt>
                <c:pt idx="31">
                  <c:v>0.9</c:v>
                </c:pt>
                <c:pt idx="32">
                  <c:v>0.1</c:v>
                </c:pt>
                <c:pt idx="33">
                  <c:v>1.2</c:v>
                </c:pt>
                <c:pt idx="34">
                  <c:v>0.3</c:v>
                </c:pt>
                <c:pt idx="35">
                  <c:v>1.9</c:v>
                </c:pt>
                <c:pt idx="36">
                  <c:v>0.7</c:v>
                </c:pt>
                <c:pt idx="37">
                  <c:v>1.9</c:v>
                </c:pt>
                <c:pt idx="38">
                  <c:v>1.2</c:v>
                </c:pt>
                <c:pt idx="39">
                  <c:v>2.2999999999999998</c:v>
                </c:pt>
                <c:pt idx="40">
                  <c:v>1.6</c:v>
                </c:pt>
                <c:pt idx="41">
                  <c:v>1.1000000000000001</c:v>
                </c:pt>
                <c:pt idx="42">
                  <c:v>1</c:v>
                </c:pt>
                <c:pt idx="43">
                  <c:v>1.2</c:v>
                </c:pt>
                <c:pt idx="44">
                  <c:v>1.3</c:v>
                </c:pt>
                <c:pt idx="45">
                  <c:v>0.4</c:v>
                </c:pt>
                <c:pt idx="46">
                  <c:v>1.3</c:v>
                </c:pt>
                <c:pt idx="4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B0-4093-BED9-F7F21422B528}"/>
            </c:ext>
          </c:extLst>
        </c:ser>
        <c:ser>
          <c:idx val="1"/>
          <c:order val="1"/>
          <c:tx>
            <c:v>GF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'Val 2020-21'!$D$8:$D$55</c:f>
              <c:numCache>
                <c:formatCode>General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4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4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2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0</c:v>
                </c:pt>
                <c:pt idx="46">
                  <c:v>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B0-4093-BED9-F7F21422B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034719"/>
        <c:axId val="1559032799"/>
      </c:lineChart>
      <c:dateAx>
        <c:axId val="1559034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Javi Garcia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032799"/>
        <c:crosses val="autoZero"/>
        <c:auto val="1"/>
        <c:lblOffset val="100"/>
        <c:baseTimeUnit val="days"/>
      </c:dateAx>
      <c:valAx>
        <c:axId val="155903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</a:t>
                </a:r>
                <a:r>
                  <a:rPr lang="en-US" baseline="0"/>
                  <a:t> Goals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03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Valencia CF Manager xG &amp; GF Summer21'-Spring22'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'Val 2021-22'!$F$7</c:f>
              <c:strCache>
                <c:ptCount val="1"/>
                <c:pt idx="0">
                  <c:v>xG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'Val 2021-22'!$A$8:$A$53</c:f>
              <c:numCache>
                <c:formatCode>[$-409]mmm\-yy;@</c:formatCode>
                <c:ptCount val="46"/>
                <c:pt idx="0">
                  <c:v>44421</c:v>
                </c:pt>
                <c:pt idx="1">
                  <c:v>44429</c:v>
                </c:pt>
                <c:pt idx="2">
                  <c:v>44435</c:v>
                </c:pt>
                <c:pt idx="3">
                  <c:v>44451</c:v>
                </c:pt>
                <c:pt idx="4">
                  <c:v>44458</c:v>
                </c:pt>
                <c:pt idx="5">
                  <c:v>44461</c:v>
                </c:pt>
                <c:pt idx="6">
                  <c:v>44464</c:v>
                </c:pt>
                <c:pt idx="7">
                  <c:v>44471</c:v>
                </c:pt>
                <c:pt idx="8">
                  <c:v>44486</c:v>
                </c:pt>
                <c:pt idx="9">
                  <c:v>44492</c:v>
                </c:pt>
                <c:pt idx="10">
                  <c:v>44496</c:v>
                </c:pt>
                <c:pt idx="11">
                  <c:v>44499</c:v>
                </c:pt>
                <c:pt idx="12">
                  <c:v>44507</c:v>
                </c:pt>
                <c:pt idx="13">
                  <c:v>44521</c:v>
                </c:pt>
                <c:pt idx="14">
                  <c:v>44527</c:v>
                </c:pt>
                <c:pt idx="15">
                  <c:v>44532</c:v>
                </c:pt>
                <c:pt idx="16">
                  <c:v>44535</c:v>
                </c:pt>
                <c:pt idx="17">
                  <c:v>44541</c:v>
                </c:pt>
                <c:pt idx="18">
                  <c:v>44546</c:v>
                </c:pt>
                <c:pt idx="19">
                  <c:v>44550</c:v>
                </c:pt>
                <c:pt idx="20">
                  <c:v>44561</c:v>
                </c:pt>
                <c:pt idx="21">
                  <c:v>44566</c:v>
                </c:pt>
                <c:pt idx="22">
                  <c:v>44569</c:v>
                </c:pt>
                <c:pt idx="23">
                  <c:v>44577</c:v>
                </c:pt>
                <c:pt idx="24">
                  <c:v>44580</c:v>
                </c:pt>
                <c:pt idx="25">
                  <c:v>44583</c:v>
                </c:pt>
                <c:pt idx="26">
                  <c:v>44594</c:v>
                </c:pt>
                <c:pt idx="27">
                  <c:v>44598</c:v>
                </c:pt>
                <c:pt idx="28">
                  <c:v>44602</c:v>
                </c:pt>
                <c:pt idx="29">
                  <c:v>44605</c:v>
                </c:pt>
                <c:pt idx="30">
                  <c:v>44612</c:v>
                </c:pt>
                <c:pt idx="31">
                  <c:v>44618</c:v>
                </c:pt>
                <c:pt idx="32">
                  <c:v>44622</c:v>
                </c:pt>
                <c:pt idx="33">
                  <c:v>44625</c:v>
                </c:pt>
                <c:pt idx="34">
                  <c:v>44632</c:v>
                </c:pt>
                <c:pt idx="35">
                  <c:v>44639</c:v>
                </c:pt>
                <c:pt idx="36">
                  <c:v>44654</c:v>
                </c:pt>
                <c:pt idx="37">
                  <c:v>44662</c:v>
                </c:pt>
                <c:pt idx="38">
                  <c:v>44667</c:v>
                </c:pt>
                <c:pt idx="39">
                  <c:v>44670</c:v>
                </c:pt>
                <c:pt idx="40">
                  <c:v>44674</c:v>
                </c:pt>
                <c:pt idx="41">
                  <c:v>44681</c:v>
                </c:pt>
                <c:pt idx="42">
                  <c:v>44688</c:v>
                </c:pt>
                <c:pt idx="43">
                  <c:v>44691</c:v>
                </c:pt>
                <c:pt idx="44">
                  <c:v>44695</c:v>
                </c:pt>
                <c:pt idx="45">
                  <c:v>44702</c:v>
                </c:pt>
              </c:numCache>
            </c:numRef>
          </c:cat>
          <c:val>
            <c:numRef>
              <c:f>'Val 2021-22'!$F$8:$F$53</c:f>
              <c:numCache>
                <c:formatCode>General</c:formatCode>
                <c:ptCount val="46"/>
                <c:pt idx="0">
                  <c:v>1.5</c:v>
                </c:pt>
                <c:pt idx="1">
                  <c:v>1.5</c:v>
                </c:pt>
                <c:pt idx="2">
                  <c:v>1.6</c:v>
                </c:pt>
                <c:pt idx="3">
                  <c:v>0.9</c:v>
                </c:pt>
                <c:pt idx="4">
                  <c:v>0.9</c:v>
                </c:pt>
                <c:pt idx="5">
                  <c:v>0.4</c:v>
                </c:pt>
                <c:pt idx="6">
                  <c:v>0.9</c:v>
                </c:pt>
                <c:pt idx="7">
                  <c:v>1.1000000000000001</c:v>
                </c:pt>
                <c:pt idx="8">
                  <c:v>0.4</c:v>
                </c:pt>
                <c:pt idx="9">
                  <c:v>1.8</c:v>
                </c:pt>
                <c:pt idx="10">
                  <c:v>1.6</c:v>
                </c:pt>
                <c:pt idx="11">
                  <c:v>1.1000000000000001</c:v>
                </c:pt>
                <c:pt idx="12">
                  <c:v>1.1000000000000001</c:v>
                </c:pt>
                <c:pt idx="13">
                  <c:v>0.7</c:v>
                </c:pt>
                <c:pt idx="14">
                  <c:v>1.6</c:v>
                </c:pt>
                <c:pt idx="16">
                  <c:v>1.3</c:v>
                </c:pt>
                <c:pt idx="17">
                  <c:v>1.6</c:v>
                </c:pt>
                <c:pt idx="19">
                  <c:v>2.1</c:v>
                </c:pt>
                <c:pt idx="20">
                  <c:v>0.7</c:v>
                </c:pt>
                <c:pt idx="22">
                  <c:v>1.3</c:v>
                </c:pt>
                <c:pt idx="24">
                  <c:v>0.5</c:v>
                </c:pt>
                <c:pt idx="25">
                  <c:v>0.7</c:v>
                </c:pt>
                <c:pt idx="27">
                  <c:v>1.1000000000000001</c:v>
                </c:pt>
                <c:pt idx="29">
                  <c:v>1.2</c:v>
                </c:pt>
                <c:pt idx="30">
                  <c:v>0.8</c:v>
                </c:pt>
                <c:pt idx="31">
                  <c:v>0.6</c:v>
                </c:pt>
                <c:pt idx="33">
                  <c:v>1.6</c:v>
                </c:pt>
                <c:pt idx="34">
                  <c:v>0.2</c:v>
                </c:pt>
                <c:pt idx="35">
                  <c:v>0.9</c:v>
                </c:pt>
                <c:pt idx="36">
                  <c:v>0.2</c:v>
                </c:pt>
                <c:pt idx="37">
                  <c:v>0.5</c:v>
                </c:pt>
                <c:pt idx="38">
                  <c:v>1.3</c:v>
                </c:pt>
                <c:pt idx="39">
                  <c:v>0.3</c:v>
                </c:pt>
                <c:pt idx="41">
                  <c:v>0.5</c:v>
                </c:pt>
                <c:pt idx="42">
                  <c:v>0.1</c:v>
                </c:pt>
                <c:pt idx="43">
                  <c:v>1.2</c:v>
                </c:pt>
                <c:pt idx="44">
                  <c:v>1.6</c:v>
                </c:pt>
                <c:pt idx="45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E-42B7-8DBC-E29F5A273806}"/>
            </c:ext>
          </c:extLst>
        </c:ser>
        <c:ser>
          <c:idx val="1"/>
          <c:order val="1"/>
          <c:tx>
            <c:v>GF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'Val 2021-22'!$D$8:$D$53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3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3E-42B7-8DBC-E29F5A273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6483871"/>
        <c:axId val="1146484831"/>
      </c:lineChart>
      <c:dateAx>
        <c:axId val="1146483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J. Garcia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484831"/>
        <c:crosses val="autoZero"/>
        <c:auto val="1"/>
        <c:lblOffset val="100"/>
        <c:baseTimeUnit val="days"/>
      </c:dateAx>
      <c:valAx>
        <c:axId val="114648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  Goals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48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Valencia</a:t>
            </a:r>
            <a:r>
              <a:rPr lang="en-US" baseline="0"/>
              <a:t> CF Manager xG &amp; GF Summer22' - Winter23'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'Val 2022-23'!$G$7</c:f>
              <c:strCache>
                <c:ptCount val="1"/>
                <c:pt idx="0">
                  <c:v>xG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'Val 2022-23'!$A$8:$A$29</c:f>
              <c:numCache>
                <c:formatCode>[$-409]mmm\-yy;@</c:formatCode>
                <c:ptCount val="22"/>
                <c:pt idx="0">
                  <c:v>44787</c:v>
                </c:pt>
                <c:pt idx="1">
                  <c:v>44794</c:v>
                </c:pt>
                <c:pt idx="2">
                  <c:v>44802</c:v>
                </c:pt>
                <c:pt idx="3">
                  <c:v>44808</c:v>
                </c:pt>
                <c:pt idx="4">
                  <c:v>44814</c:v>
                </c:pt>
                <c:pt idx="5">
                  <c:v>44821</c:v>
                </c:pt>
                <c:pt idx="6">
                  <c:v>44836</c:v>
                </c:pt>
                <c:pt idx="7">
                  <c:v>44841</c:v>
                </c:pt>
                <c:pt idx="8">
                  <c:v>44849</c:v>
                </c:pt>
                <c:pt idx="9">
                  <c:v>44852</c:v>
                </c:pt>
                <c:pt idx="10">
                  <c:v>44856</c:v>
                </c:pt>
                <c:pt idx="11">
                  <c:v>44863</c:v>
                </c:pt>
                <c:pt idx="12">
                  <c:v>44871</c:v>
                </c:pt>
                <c:pt idx="13">
                  <c:v>44875</c:v>
                </c:pt>
                <c:pt idx="14">
                  <c:v>44926</c:v>
                </c:pt>
                <c:pt idx="15">
                  <c:v>44929</c:v>
                </c:pt>
                <c:pt idx="16">
                  <c:v>44932</c:v>
                </c:pt>
                <c:pt idx="17">
                  <c:v>44937</c:v>
                </c:pt>
                <c:pt idx="18">
                  <c:v>44944</c:v>
                </c:pt>
                <c:pt idx="19">
                  <c:v>44949</c:v>
                </c:pt>
                <c:pt idx="20">
                  <c:v>44952</c:v>
                </c:pt>
                <c:pt idx="21">
                  <c:v>44955</c:v>
                </c:pt>
              </c:numCache>
            </c:numRef>
          </c:cat>
          <c:val>
            <c:numRef>
              <c:f>'Val 2022-23'!$G$8:$G$29</c:f>
              <c:numCache>
                <c:formatCode>General</c:formatCode>
                <c:ptCount val="22"/>
                <c:pt idx="0">
                  <c:v>1.6</c:v>
                </c:pt>
                <c:pt idx="1">
                  <c:v>0.7</c:v>
                </c:pt>
                <c:pt idx="2">
                  <c:v>0.5</c:v>
                </c:pt>
                <c:pt idx="3">
                  <c:v>2.2999999999999998</c:v>
                </c:pt>
                <c:pt idx="4">
                  <c:v>1.7</c:v>
                </c:pt>
                <c:pt idx="5">
                  <c:v>1.7</c:v>
                </c:pt>
                <c:pt idx="6">
                  <c:v>1.1000000000000001</c:v>
                </c:pt>
                <c:pt idx="7">
                  <c:v>2.1</c:v>
                </c:pt>
                <c:pt idx="8">
                  <c:v>2.7</c:v>
                </c:pt>
                <c:pt idx="9">
                  <c:v>1.8</c:v>
                </c:pt>
                <c:pt idx="10">
                  <c:v>1.2</c:v>
                </c:pt>
                <c:pt idx="11">
                  <c:v>0.2</c:v>
                </c:pt>
                <c:pt idx="12">
                  <c:v>0.9</c:v>
                </c:pt>
                <c:pt idx="13">
                  <c:v>2</c:v>
                </c:pt>
                <c:pt idx="14">
                  <c:v>1.4</c:v>
                </c:pt>
                <c:pt idx="16">
                  <c:v>0.4</c:v>
                </c:pt>
                <c:pt idx="19">
                  <c:v>1.9</c:v>
                </c:pt>
                <c:pt idx="21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C8-42E6-9A9B-C7B14367EB1B}"/>
            </c:ext>
          </c:extLst>
        </c:ser>
        <c:ser>
          <c:idx val="1"/>
          <c:order val="1"/>
          <c:tx>
            <c:v>GF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'Val 2022-23'!$E$8:$E$29</c:f>
              <c:numCache>
                <c:formatCode>General</c:formatCode>
                <c:ptCount val="2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C8-42E6-9A9B-C7B14367E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347455"/>
        <c:axId val="758350815"/>
      </c:lineChart>
      <c:dateAx>
        <c:axId val="758347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Gennaro Gattuso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350815"/>
        <c:crosses val="autoZero"/>
        <c:auto val="1"/>
        <c:lblOffset val="100"/>
        <c:baseTimeUnit val="days"/>
      </c:dateAx>
      <c:valAx>
        <c:axId val="75835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Goals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34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Valencia Manager xG &amp; GF Winter23'- Fall 24'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'Val 2023-24'!$F$5</c:f>
              <c:strCache>
                <c:ptCount val="1"/>
                <c:pt idx="0">
                  <c:v>xG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'Val 2023-24'!$A$6:$A$81</c:f>
              <c:numCache>
                <c:formatCode>[$-409]mmm\-yy;@</c:formatCode>
                <c:ptCount val="76"/>
                <c:pt idx="0">
                  <c:v>44959</c:v>
                </c:pt>
                <c:pt idx="1">
                  <c:v>44962</c:v>
                </c:pt>
                <c:pt idx="2">
                  <c:v>44968</c:v>
                </c:pt>
                <c:pt idx="3">
                  <c:v>44977</c:v>
                </c:pt>
                <c:pt idx="4">
                  <c:v>44982</c:v>
                </c:pt>
                <c:pt idx="5">
                  <c:v>44990</c:v>
                </c:pt>
                <c:pt idx="6">
                  <c:v>44996</c:v>
                </c:pt>
                <c:pt idx="7">
                  <c:v>45003</c:v>
                </c:pt>
                <c:pt idx="8">
                  <c:v>45019</c:v>
                </c:pt>
                <c:pt idx="9">
                  <c:v>45025</c:v>
                </c:pt>
                <c:pt idx="10">
                  <c:v>45032</c:v>
                </c:pt>
                <c:pt idx="11">
                  <c:v>45039</c:v>
                </c:pt>
                <c:pt idx="12">
                  <c:v>45043</c:v>
                </c:pt>
                <c:pt idx="13">
                  <c:v>45046</c:v>
                </c:pt>
                <c:pt idx="14">
                  <c:v>45049</c:v>
                </c:pt>
                <c:pt idx="15">
                  <c:v>45060</c:v>
                </c:pt>
                <c:pt idx="16">
                  <c:v>45067</c:v>
                </c:pt>
                <c:pt idx="17">
                  <c:v>45071</c:v>
                </c:pt>
                <c:pt idx="18">
                  <c:v>45074</c:v>
                </c:pt>
                <c:pt idx="19">
                  <c:v>45081</c:v>
                </c:pt>
                <c:pt idx="20">
                  <c:v>45149</c:v>
                </c:pt>
                <c:pt idx="21">
                  <c:v>45156</c:v>
                </c:pt>
                <c:pt idx="22">
                  <c:v>45165</c:v>
                </c:pt>
                <c:pt idx="23">
                  <c:v>45171</c:v>
                </c:pt>
                <c:pt idx="24">
                  <c:v>45185</c:v>
                </c:pt>
                <c:pt idx="25">
                  <c:v>45192</c:v>
                </c:pt>
                <c:pt idx="26">
                  <c:v>45196</c:v>
                </c:pt>
                <c:pt idx="27">
                  <c:v>45200</c:v>
                </c:pt>
                <c:pt idx="28">
                  <c:v>45206</c:v>
                </c:pt>
                <c:pt idx="29">
                  <c:v>45222</c:v>
                </c:pt>
                <c:pt idx="30">
                  <c:v>45228</c:v>
                </c:pt>
                <c:pt idx="31">
                  <c:v>45232</c:v>
                </c:pt>
                <c:pt idx="32">
                  <c:v>45235</c:v>
                </c:pt>
                <c:pt idx="33">
                  <c:v>45241</c:v>
                </c:pt>
                <c:pt idx="34">
                  <c:v>45255</c:v>
                </c:pt>
                <c:pt idx="35">
                  <c:v>45262</c:v>
                </c:pt>
                <c:pt idx="36">
                  <c:v>45265</c:v>
                </c:pt>
                <c:pt idx="37">
                  <c:v>45268</c:v>
                </c:pt>
                <c:pt idx="38">
                  <c:v>45276</c:v>
                </c:pt>
                <c:pt idx="39">
                  <c:v>45279</c:v>
                </c:pt>
                <c:pt idx="40">
                  <c:v>45293</c:v>
                </c:pt>
                <c:pt idx="41">
                  <c:v>45298</c:v>
                </c:pt>
                <c:pt idx="42">
                  <c:v>45305</c:v>
                </c:pt>
                <c:pt idx="43">
                  <c:v>45308</c:v>
                </c:pt>
                <c:pt idx="44">
                  <c:v>45311</c:v>
                </c:pt>
                <c:pt idx="45">
                  <c:v>45319</c:v>
                </c:pt>
                <c:pt idx="46">
                  <c:v>45325</c:v>
                </c:pt>
                <c:pt idx="47">
                  <c:v>45332</c:v>
                </c:pt>
                <c:pt idx="48">
                  <c:v>45339</c:v>
                </c:pt>
                <c:pt idx="49">
                  <c:v>45353</c:v>
                </c:pt>
                <c:pt idx="50">
                  <c:v>45360</c:v>
                </c:pt>
                <c:pt idx="51">
                  <c:v>45368</c:v>
                </c:pt>
                <c:pt idx="52">
                  <c:v>45381</c:v>
                </c:pt>
                <c:pt idx="53">
                  <c:v>45386</c:v>
                </c:pt>
                <c:pt idx="54">
                  <c:v>45397</c:v>
                </c:pt>
                <c:pt idx="55">
                  <c:v>45402</c:v>
                </c:pt>
                <c:pt idx="56">
                  <c:v>45411</c:v>
                </c:pt>
                <c:pt idx="57">
                  <c:v>45417</c:v>
                </c:pt>
                <c:pt idx="58">
                  <c:v>45424</c:v>
                </c:pt>
                <c:pt idx="59">
                  <c:v>45428</c:v>
                </c:pt>
                <c:pt idx="60">
                  <c:v>45431</c:v>
                </c:pt>
                <c:pt idx="61">
                  <c:v>45438</c:v>
                </c:pt>
                <c:pt idx="62">
                  <c:v>45521</c:v>
                </c:pt>
                <c:pt idx="63">
                  <c:v>45527</c:v>
                </c:pt>
                <c:pt idx="64">
                  <c:v>45532</c:v>
                </c:pt>
                <c:pt idx="65">
                  <c:v>45535</c:v>
                </c:pt>
                <c:pt idx="66">
                  <c:v>45550</c:v>
                </c:pt>
                <c:pt idx="67">
                  <c:v>45556</c:v>
                </c:pt>
                <c:pt idx="68">
                  <c:v>45559</c:v>
                </c:pt>
                <c:pt idx="69">
                  <c:v>45563</c:v>
                </c:pt>
                <c:pt idx="70">
                  <c:v>45569</c:v>
                </c:pt>
                <c:pt idx="71">
                  <c:v>45586</c:v>
                </c:pt>
                <c:pt idx="72">
                  <c:v>45592</c:v>
                </c:pt>
                <c:pt idx="73">
                  <c:v>45598</c:v>
                </c:pt>
                <c:pt idx="74">
                  <c:v>45619</c:v>
                </c:pt>
                <c:pt idx="75">
                  <c:v>45622</c:v>
                </c:pt>
              </c:numCache>
            </c:numRef>
          </c:cat>
          <c:val>
            <c:numRef>
              <c:f>'Val 2023-24'!$F$6:$F$81</c:f>
              <c:numCache>
                <c:formatCode>General</c:formatCode>
                <c:ptCount val="76"/>
                <c:pt idx="0">
                  <c:v>0.2</c:v>
                </c:pt>
                <c:pt idx="1">
                  <c:v>1</c:v>
                </c:pt>
                <c:pt idx="2">
                  <c:v>1.6</c:v>
                </c:pt>
                <c:pt idx="3">
                  <c:v>1</c:v>
                </c:pt>
                <c:pt idx="4">
                  <c:v>0.5</c:v>
                </c:pt>
                <c:pt idx="5">
                  <c:v>1</c:v>
                </c:pt>
                <c:pt idx="6">
                  <c:v>1.7</c:v>
                </c:pt>
                <c:pt idx="7">
                  <c:v>1</c:v>
                </c:pt>
                <c:pt idx="8">
                  <c:v>2.2999999999999998</c:v>
                </c:pt>
                <c:pt idx="9">
                  <c:v>1.3</c:v>
                </c:pt>
                <c:pt idx="10">
                  <c:v>0.4</c:v>
                </c:pt>
                <c:pt idx="11">
                  <c:v>1</c:v>
                </c:pt>
                <c:pt idx="12">
                  <c:v>0.9</c:v>
                </c:pt>
                <c:pt idx="13">
                  <c:v>1.3</c:v>
                </c:pt>
                <c:pt idx="14">
                  <c:v>1.2</c:v>
                </c:pt>
                <c:pt idx="15">
                  <c:v>1.2</c:v>
                </c:pt>
                <c:pt idx="16">
                  <c:v>1</c:v>
                </c:pt>
                <c:pt idx="17">
                  <c:v>1.9</c:v>
                </c:pt>
                <c:pt idx="18">
                  <c:v>2.6</c:v>
                </c:pt>
                <c:pt idx="19">
                  <c:v>1.2</c:v>
                </c:pt>
                <c:pt idx="20">
                  <c:v>1.1000000000000001</c:v>
                </c:pt>
                <c:pt idx="21">
                  <c:v>1.5</c:v>
                </c:pt>
                <c:pt idx="22">
                  <c:v>1.7</c:v>
                </c:pt>
                <c:pt idx="23">
                  <c:v>0.8</c:v>
                </c:pt>
                <c:pt idx="24">
                  <c:v>1.3</c:v>
                </c:pt>
                <c:pt idx="25">
                  <c:v>0.8</c:v>
                </c:pt>
                <c:pt idx="26">
                  <c:v>0.4</c:v>
                </c:pt>
                <c:pt idx="27">
                  <c:v>0.7</c:v>
                </c:pt>
                <c:pt idx="28">
                  <c:v>0.5</c:v>
                </c:pt>
                <c:pt idx="29">
                  <c:v>1.5</c:v>
                </c:pt>
                <c:pt idx="30">
                  <c:v>1.9</c:v>
                </c:pt>
                <c:pt idx="32">
                  <c:v>1.2</c:v>
                </c:pt>
                <c:pt idx="33">
                  <c:v>1.7</c:v>
                </c:pt>
                <c:pt idx="34">
                  <c:v>0.5</c:v>
                </c:pt>
                <c:pt idx="35">
                  <c:v>1</c:v>
                </c:pt>
                <c:pt idx="37">
                  <c:v>0.1</c:v>
                </c:pt>
                <c:pt idx="38">
                  <c:v>0.5</c:v>
                </c:pt>
                <c:pt idx="39">
                  <c:v>0.3</c:v>
                </c:pt>
                <c:pt idx="40">
                  <c:v>2.8</c:v>
                </c:pt>
                <c:pt idx="42">
                  <c:v>1.9</c:v>
                </c:pt>
                <c:pt idx="44">
                  <c:v>0.9</c:v>
                </c:pt>
                <c:pt idx="45">
                  <c:v>0.5</c:v>
                </c:pt>
                <c:pt idx="46">
                  <c:v>1.4</c:v>
                </c:pt>
                <c:pt idx="47">
                  <c:v>0.5</c:v>
                </c:pt>
                <c:pt idx="48">
                  <c:v>1</c:v>
                </c:pt>
                <c:pt idx="49">
                  <c:v>1.1000000000000001</c:v>
                </c:pt>
                <c:pt idx="50">
                  <c:v>0.8</c:v>
                </c:pt>
                <c:pt idx="51">
                  <c:v>1.1000000000000001</c:v>
                </c:pt>
                <c:pt idx="52">
                  <c:v>1.5</c:v>
                </c:pt>
                <c:pt idx="53">
                  <c:v>0.4</c:v>
                </c:pt>
                <c:pt idx="54">
                  <c:v>0.2</c:v>
                </c:pt>
                <c:pt idx="55">
                  <c:v>1.1000000000000001</c:v>
                </c:pt>
                <c:pt idx="56">
                  <c:v>2.1</c:v>
                </c:pt>
                <c:pt idx="57">
                  <c:v>0.9</c:v>
                </c:pt>
                <c:pt idx="58">
                  <c:v>1.3</c:v>
                </c:pt>
                <c:pt idx="59">
                  <c:v>0.8</c:v>
                </c:pt>
                <c:pt idx="60">
                  <c:v>3.2</c:v>
                </c:pt>
                <c:pt idx="61">
                  <c:v>2</c:v>
                </c:pt>
                <c:pt idx="62">
                  <c:v>1</c:v>
                </c:pt>
                <c:pt idx="63">
                  <c:v>0.9</c:v>
                </c:pt>
                <c:pt idx="64">
                  <c:v>0.1</c:v>
                </c:pt>
                <c:pt idx="65">
                  <c:v>1.1000000000000001</c:v>
                </c:pt>
                <c:pt idx="66">
                  <c:v>0.1</c:v>
                </c:pt>
                <c:pt idx="67">
                  <c:v>0.4</c:v>
                </c:pt>
                <c:pt idx="68">
                  <c:v>0.7</c:v>
                </c:pt>
                <c:pt idx="69">
                  <c:v>0.8</c:v>
                </c:pt>
                <c:pt idx="70">
                  <c:v>0.5</c:v>
                </c:pt>
                <c:pt idx="71">
                  <c:v>1.6</c:v>
                </c:pt>
                <c:pt idx="72">
                  <c:v>0.7</c:v>
                </c:pt>
                <c:pt idx="74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E-46B4-8593-81B6ADF9408D}"/>
            </c:ext>
          </c:extLst>
        </c:ser>
        <c:ser>
          <c:idx val="1"/>
          <c:order val="1"/>
          <c:tx>
            <c:v>GF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'Val 2023-24'!$D$6:$D$81</c:f>
              <c:numCache>
                <c:formatCode>General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3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3</c:v>
                </c:pt>
                <c:pt idx="41">
                  <c:v>2</c:v>
                </c:pt>
                <c:pt idx="42">
                  <c:v>4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</c:v>
                </c:pt>
                <c:pt idx="72">
                  <c:v>1</c:v>
                </c:pt>
                <c:pt idx="74">
                  <c:v>4</c:v>
                </c:pt>
                <c:pt idx="7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BE-46B4-8593-81B6ADF94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6315615"/>
        <c:axId val="1486318495"/>
      </c:lineChart>
      <c:dateAx>
        <c:axId val="1486315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Ruben Baraja  (Current)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318495"/>
        <c:crosses val="autoZero"/>
        <c:auto val="1"/>
        <c:lblOffset val="100"/>
        <c:baseTimeUnit val="days"/>
      </c:dateAx>
      <c:valAx>
        <c:axId val="148631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Goals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31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'RS 2017-18'!$M$7</c:f>
              <c:strCache>
                <c:ptCount val="1"/>
                <c:pt idx="0">
                  <c:v>Home Attendance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'RS 2017-18'!$L$8:$L$27</c:f>
              <c:numCache>
                <c:formatCode>[$-409]mmm\-yy;@</c:formatCode>
                <c:ptCount val="20"/>
                <c:pt idx="0">
                  <c:v>42972</c:v>
                </c:pt>
                <c:pt idx="1">
                  <c:v>42992</c:v>
                </c:pt>
                <c:pt idx="2">
                  <c:v>42995</c:v>
                </c:pt>
                <c:pt idx="3">
                  <c:v>43002</c:v>
                </c:pt>
                <c:pt idx="4">
                  <c:v>43009</c:v>
                </c:pt>
                <c:pt idx="5">
                  <c:v>43031</c:v>
                </c:pt>
                <c:pt idx="6">
                  <c:v>43041</c:v>
                </c:pt>
                <c:pt idx="7">
                  <c:v>43044</c:v>
                </c:pt>
                <c:pt idx="8">
                  <c:v>43065</c:v>
                </c:pt>
                <c:pt idx="9">
                  <c:v>43068</c:v>
                </c:pt>
                <c:pt idx="10">
                  <c:v>43076</c:v>
                </c:pt>
                <c:pt idx="11">
                  <c:v>43079</c:v>
                </c:pt>
                <c:pt idx="12">
                  <c:v>43089</c:v>
                </c:pt>
                <c:pt idx="13">
                  <c:v>43114</c:v>
                </c:pt>
                <c:pt idx="14">
                  <c:v>43121</c:v>
                </c:pt>
                <c:pt idx="15">
                  <c:v>43133</c:v>
                </c:pt>
                <c:pt idx="16">
                  <c:v>43146</c:v>
                </c:pt>
                <c:pt idx="17">
                  <c:v>43149</c:v>
                </c:pt>
                <c:pt idx="18">
                  <c:v>43163</c:v>
                </c:pt>
                <c:pt idx="19">
                  <c:v>43176</c:v>
                </c:pt>
              </c:numCache>
            </c:numRef>
          </c:cat>
          <c:val>
            <c:numRef>
              <c:f>'RS 2017-18'!$M$8:$M$27</c:f>
              <c:numCache>
                <c:formatCode>#,##0</c:formatCode>
                <c:ptCount val="20"/>
                <c:pt idx="0">
                  <c:v>19931</c:v>
                </c:pt>
                <c:pt idx="1">
                  <c:v>21479</c:v>
                </c:pt>
                <c:pt idx="2">
                  <c:v>24966</c:v>
                </c:pt>
                <c:pt idx="3">
                  <c:v>20266</c:v>
                </c:pt>
                <c:pt idx="4">
                  <c:v>19669</c:v>
                </c:pt>
                <c:pt idx="5">
                  <c:v>18515</c:v>
                </c:pt>
                <c:pt idx="6">
                  <c:v>17242</c:v>
                </c:pt>
                <c:pt idx="7">
                  <c:v>20387</c:v>
                </c:pt>
                <c:pt idx="8">
                  <c:v>19780</c:v>
                </c:pt>
                <c:pt idx="9">
                  <c:v>8819</c:v>
                </c:pt>
                <c:pt idx="10">
                  <c:v>20609</c:v>
                </c:pt>
                <c:pt idx="11">
                  <c:v>16834</c:v>
                </c:pt>
                <c:pt idx="12">
                  <c:v>17205</c:v>
                </c:pt>
                <c:pt idx="13">
                  <c:v>23277</c:v>
                </c:pt>
                <c:pt idx="14">
                  <c:v>19081</c:v>
                </c:pt>
                <c:pt idx="15">
                  <c:v>15626</c:v>
                </c:pt>
                <c:pt idx="16">
                  <c:v>19790</c:v>
                </c:pt>
                <c:pt idx="17">
                  <c:v>18189</c:v>
                </c:pt>
                <c:pt idx="18">
                  <c:v>21445</c:v>
                </c:pt>
                <c:pt idx="19">
                  <c:v>17509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79-4E0B-9DBA-294D1C10A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8562639"/>
        <c:axId val="1218562159"/>
      </c:lineChart>
      <c:dateAx>
        <c:axId val="1218562639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562159"/>
        <c:crosses val="autoZero"/>
        <c:auto val="1"/>
        <c:lblOffset val="100"/>
        <c:baseTimeUnit val="days"/>
      </c:dateAx>
      <c:valAx>
        <c:axId val="12185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56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476250</xdr:colOff>
      <xdr:row>5</xdr:row>
      <xdr:rowOff>148590</xdr:rowOff>
    </xdr:from>
    <xdr:to>
      <xdr:col>22</xdr:col>
      <xdr:colOff>91440</xdr:colOff>
      <xdr:row>25</xdr:row>
      <xdr:rowOff>68580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755EC04-D9AC-4C0E-6E36-11DB96CDA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518160</xdr:colOff>
      <xdr:row>25</xdr:row>
      <xdr:rowOff>64770</xdr:rowOff>
    </xdr:from>
    <xdr:to>
      <xdr:col>17</xdr:col>
      <xdr:colOff>213360</xdr:colOff>
      <xdr:row>40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ADF262-AC62-F35F-84F5-960A37B57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13</xdr:row>
      <xdr:rowOff>64770</xdr:rowOff>
    </xdr:from>
    <xdr:to>
      <xdr:col>17</xdr:col>
      <xdr:colOff>419100</xdr:colOff>
      <xdr:row>28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D8D2A7-AF23-F660-0E1E-180C9BFFF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449580</xdr:colOff>
      <xdr:row>10</xdr:row>
      <xdr:rowOff>3810</xdr:rowOff>
    </xdr:from>
    <xdr:to>
      <xdr:col>17</xdr:col>
      <xdr:colOff>144780</xdr:colOff>
      <xdr:row>25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110EAC-C91C-F9A8-0702-CBBB94274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11</xdr:row>
      <xdr:rowOff>171450</xdr:rowOff>
    </xdr:from>
    <xdr:to>
      <xdr:col>17</xdr:col>
      <xdr:colOff>266700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F003F6-F162-283D-5977-824AF10A7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11</xdr:row>
      <xdr:rowOff>163830</xdr:rowOff>
    </xdr:from>
    <xdr:to>
      <xdr:col>16</xdr:col>
      <xdr:colOff>533400</xdr:colOff>
      <xdr:row>26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D68CB0-5DF2-1002-A0B9-37D183D0F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175260</xdr:rowOff>
    </xdr:from>
    <xdr:to>
      <xdr:col>10</xdr:col>
      <xdr:colOff>304800</xdr:colOff>
      <xdr:row>22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3231A9-FC23-F85E-DC02-035B7986E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24E0-6634-44F8-AEE7-062791848A3E}">
  <dimension ref="A1:V42"/>
  <sheetViews>
    <sheetView workbookViewId="0">
      <selection activeCell="E45" sqref="E45"/>
    </sheetView>
  </sheetViews>
  <sheetFormatPr defaultRowHeight="15" x14ac:dyDescent="0.25"/>
  <cols>
    <col min="15" max="15" width="14.85546875" customWidth="1"/>
    <col min="16" max="16" width="16.7109375" customWidth="1"/>
    <col min="18" max="18" width="11.7109375" style="58" customWidth="1"/>
    <col min="19" max="19" width="17.140625" customWidth="1"/>
    <col min="23" max="23" width="11.28515625" customWidth="1"/>
  </cols>
  <sheetData>
    <row r="1" spans="1:22" x14ac:dyDescent="0.25">
      <c r="A1" t="s">
        <v>42</v>
      </c>
      <c r="B1" s="36" t="s">
        <v>577</v>
      </c>
      <c r="C1" t="s">
        <v>15</v>
      </c>
      <c r="D1" t="s">
        <v>17</v>
      </c>
      <c r="E1" s="36" t="s">
        <v>18</v>
      </c>
      <c r="F1" s="36" t="s">
        <v>4</v>
      </c>
      <c r="G1" s="36" t="s">
        <v>19</v>
      </c>
      <c r="H1" s="36" t="s">
        <v>20</v>
      </c>
      <c r="I1" s="36" t="s">
        <v>21</v>
      </c>
      <c r="J1" s="36" t="s">
        <v>22</v>
      </c>
      <c r="K1" s="36" t="s">
        <v>23</v>
      </c>
      <c r="L1" s="36" t="s">
        <v>578</v>
      </c>
      <c r="M1" s="36" t="s">
        <v>962</v>
      </c>
      <c r="N1" s="59"/>
      <c r="O1" s="36" t="s">
        <v>1308</v>
      </c>
      <c r="P1" s="36" t="s">
        <v>1309</v>
      </c>
      <c r="Q1" s="36"/>
      <c r="U1" s="36"/>
      <c r="V1" s="36"/>
    </row>
    <row r="2" spans="1:22" x14ac:dyDescent="0.25">
      <c r="A2" t="s">
        <v>953</v>
      </c>
      <c r="B2">
        <v>9</v>
      </c>
      <c r="C2" t="s">
        <v>633</v>
      </c>
      <c r="D2">
        <v>38</v>
      </c>
      <c r="E2">
        <v>13</v>
      </c>
      <c r="F2">
        <v>10</v>
      </c>
      <c r="G2">
        <v>15</v>
      </c>
      <c r="H2">
        <v>40</v>
      </c>
      <c r="I2">
        <v>45</v>
      </c>
      <c r="J2">
        <v>-5</v>
      </c>
      <c r="K2">
        <v>49</v>
      </c>
      <c r="L2">
        <v>1.29</v>
      </c>
      <c r="M2">
        <v>44.3</v>
      </c>
      <c r="N2" s="58"/>
      <c r="O2" t="b">
        <v>0</v>
      </c>
      <c r="P2" t="b">
        <v>1</v>
      </c>
    </row>
    <row r="3" spans="1:22" s="53" customFormat="1" x14ac:dyDescent="0.25">
      <c r="A3" t="s">
        <v>954</v>
      </c>
      <c r="B3">
        <v>16</v>
      </c>
      <c r="C3" t="s">
        <v>633</v>
      </c>
      <c r="D3">
        <v>38</v>
      </c>
      <c r="E3">
        <v>11</v>
      </c>
      <c r="F3">
        <v>9</v>
      </c>
      <c r="G3">
        <v>18</v>
      </c>
      <c r="H3">
        <v>42</v>
      </c>
      <c r="I3">
        <v>45</v>
      </c>
      <c r="J3">
        <v>-3</v>
      </c>
      <c r="K3">
        <v>42</v>
      </c>
      <c r="L3">
        <v>1.1100000000000001</v>
      </c>
      <c r="M3">
        <v>52</v>
      </c>
      <c r="N3" s="58"/>
      <c r="O3" t="b">
        <v>0</v>
      </c>
      <c r="P3" t="b">
        <v>1</v>
      </c>
    </row>
    <row r="4" spans="1:22" x14ac:dyDescent="0.25">
      <c r="A4" t="s">
        <v>955</v>
      </c>
      <c r="B4">
        <v>9</v>
      </c>
      <c r="C4" t="s">
        <v>633</v>
      </c>
      <c r="D4">
        <v>38</v>
      </c>
      <c r="E4">
        <v>11</v>
      </c>
      <c r="F4">
        <v>15</v>
      </c>
      <c r="G4">
        <v>12</v>
      </c>
      <c r="H4">
        <v>48</v>
      </c>
      <c r="I4">
        <v>53</v>
      </c>
      <c r="J4">
        <v>-5</v>
      </c>
      <c r="K4">
        <v>48</v>
      </c>
      <c r="L4">
        <v>1.26</v>
      </c>
      <c r="M4">
        <v>43.6</v>
      </c>
      <c r="N4" s="58"/>
      <c r="O4" t="b">
        <v>0</v>
      </c>
      <c r="P4" t="b">
        <v>1</v>
      </c>
    </row>
    <row r="5" spans="1:22" x14ac:dyDescent="0.25">
      <c r="A5" t="s">
        <v>956</v>
      </c>
      <c r="B5">
        <v>13</v>
      </c>
      <c r="C5" t="s">
        <v>633</v>
      </c>
      <c r="D5">
        <v>38</v>
      </c>
      <c r="E5">
        <v>10</v>
      </c>
      <c r="F5">
        <v>13</v>
      </c>
      <c r="G5">
        <v>15</v>
      </c>
      <c r="H5">
        <v>50</v>
      </c>
      <c r="I5">
        <v>53</v>
      </c>
      <c r="J5">
        <v>-3</v>
      </c>
      <c r="K5">
        <v>43</v>
      </c>
      <c r="L5">
        <v>1.1299999999999999</v>
      </c>
      <c r="M5">
        <v>46.9</v>
      </c>
      <c r="N5" s="58"/>
      <c r="O5" t="b">
        <v>0</v>
      </c>
      <c r="P5" t="b">
        <v>1</v>
      </c>
    </row>
    <row r="6" spans="1:22" x14ac:dyDescent="0.25">
      <c r="A6" t="s">
        <v>957</v>
      </c>
      <c r="B6">
        <v>9</v>
      </c>
      <c r="C6" t="s">
        <v>934</v>
      </c>
      <c r="D6">
        <v>38</v>
      </c>
      <c r="E6">
        <v>14</v>
      </c>
      <c r="F6">
        <v>11</v>
      </c>
      <c r="G6">
        <v>13</v>
      </c>
      <c r="H6">
        <v>46</v>
      </c>
      <c r="I6">
        <v>53</v>
      </c>
      <c r="J6">
        <v>-7</v>
      </c>
      <c r="K6">
        <v>53</v>
      </c>
      <c r="L6">
        <v>1.39</v>
      </c>
      <c r="M6">
        <v>49</v>
      </c>
      <c r="N6" s="58"/>
      <c r="O6" t="b">
        <v>0</v>
      </c>
      <c r="P6" t="b">
        <v>1</v>
      </c>
    </row>
    <row r="7" spans="1:22" s="3" customFormat="1" x14ac:dyDescent="0.25">
      <c r="A7" s="3" t="s">
        <v>958</v>
      </c>
      <c r="B7" s="3">
        <v>4</v>
      </c>
      <c r="C7" s="3" t="s">
        <v>934</v>
      </c>
      <c r="D7" s="3">
        <v>38</v>
      </c>
      <c r="E7" s="3">
        <v>15</v>
      </c>
      <c r="F7" s="3">
        <v>16</v>
      </c>
      <c r="G7" s="3">
        <v>7</v>
      </c>
      <c r="H7" s="3">
        <v>51</v>
      </c>
      <c r="I7" s="3">
        <v>35</v>
      </c>
      <c r="J7" s="3">
        <v>16</v>
      </c>
      <c r="K7" s="3">
        <v>61</v>
      </c>
      <c r="L7" s="3">
        <v>1.61</v>
      </c>
      <c r="M7" s="3">
        <v>47.1</v>
      </c>
      <c r="N7" s="60"/>
      <c r="O7" s="3" t="b">
        <v>1</v>
      </c>
      <c r="P7" t="b">
        <v>1</v>
      </c>
      <c r="R7" s="60"/>
    </row>
    <row r="8" spans="1:22" s="3" customFormat="1" x14ac:dyDescent="0.25">
      <c r="A8" s="3" t="s">
        <v>959</v>
      </c>
      <c r="B8" s="3">
        <v>4</v>
      </c>
      <c r="C8" s="3" t="s">
        <v>934</v>
      </c>
      <c r="D8" s="3">
        <v>38</v>
      </c>
      <c r="E8" s="3">
        <v>22</v>
      </c>
      <c r="F8" s="3">
        <v>7</v>
      </c>
      <c r="G8" s="3">
        <v>9</v>
      </c>
      <c r="H8" s="3">
        <v>65</v>
      </c>
      <c r="I8" s="3">
        <v>38</v>
      </c>
      <c r="J8" s="3">
        <v>27</v>
      </c>
      <c r="K8" s="3">
        <v>73</v>
      </c>
      <c r="L8" s="3">
        <v>1.92</v>
      </c>
      <c r="M8" s="3">
        <v>48.6</v>
      </c>
      <c r="N8" s="60"/>
      <c r="O8" s="3" t="b">
        <v>1</v>
      </c>
      <c r="P8" t="b">
        <v>1</v>
      </c>
      <c r="R8" s="60"/>
    </row>
    <row r="9" spans="1:22" x14ac:dyDescent="0.25">
      <c r="A9" t="s">
        <v>960</v>
      </c>
      <c r="B9">
        <v>12</v>
      </c>
      <c r="C9" t="s">
        <v>934</v>
      </c>
      <c r="D9">
        <v>38</v>
      </c>
      <c r="E9">
        <v>13</v>
      </c>
      <c r="F9">
        <v>7</v>
      </c>
      <c r="G9">
        <v>18</v>
      </c>
      <c r="H9">
        <v>56</v>
      </c>
      <c r="I9">
        <v>65</v>
      </c>
      <c r="J9">
        <v>-9</v>
      </c>
      <c r="K9">
        <v>46</v>
      </c>
      <c r="L9">
        <v>1.21</v>
      </c>
      <c r="M9">
        <v>47.5</v>
      </c>
      <c r="N9" s="58"/>
      <c r="O9" t="b">
        <v>0</v>
      </c>
      <c r="P9" t="b">
        <v>1</v>
      </c>
    </row>
    <row r="10" spans="1:22" x14ac:dyDescent="0.25">
      <c r="A10" t="s">
        <v>961</v>
      </c>
      <c r="B10">
        <v>12</v>
      </c>
      <c r="C10" t="s">
        <v>934</v>
      </c>
      <c r="D10">
        <v>38</v>
      </c>
      <c r="E10">
        <v>11</v>
      </c>
      <c r="F10">
        <v>11</v>
      </c>
      <c r="G10">
        <v>16</v>
      </c>
      <c r="H10">
        <v>46</v>
      </c>
      <c r="I10">
        <v>48</v>
      </c>
      <c r="J10">
        <v>-2</v>
      </c>
      <c r="K10">
        <v>44</v>
      </c>
      <c r="L10">
        <v>1.1599999999999999</v>
      </c>
      <c r="M10">
        <v>50.4</v>
      </c>
      <c r="N10" s="58"/>
      <c r="O10" t="b">
        <v>0</v>
      </c>
      <c r="P10" t="b">
        <v>1</v>
      </c>
    </row>
    <row r="11" spans="1:22" s="3" customFormat="1" x14ac:dyDescent="0.25">
      <c r="A11" s="3" t="s">
        <v>1032</v>
      </c>
      <c r="B11" s="3">
        <v>4</v>
      </c>
      <c r="C11" s="3" t="s">
        <v>934</v>
      </c>
      <c r="D11" s="3">
        <v>38</v>
      </c>
      <c r="E11" s="3">
        <v>22</v>
      </c>
      <c r="F11" s="3">
        <v>11</v>
      </c>
      <c r="G11" s="3">
        <v>5</v>
      </c>
      <c r="H11" s="3">
        <v>70</v>
      </c>
      <c r="I11" s="3">
        <v>32</v>
      </c>
      <c r="J11" s="3">
        <v>38</v>
      </c>
      <c r="K11" s="3">
        <v>77</v>
      </c>
      <c r="L11" s="3">
        <v>2.0299999999999998</v>
      </c>
      <c r="M11" s="3">
        <v>50</v>
      </c>
      <c r="N11" s="60"/>
      <c r="O11" s="3" t="b">
        <v>1</v>
      </c>
      <c r="P11" t="b">
        <v>1</v>
      </c>
      <c r="R11" s="60"/>
    </row>
    <row r="12" spans="1:22" x14ac:dyDescent="0.25">
      <c r="A12" t="s">
        <v>1067</v>
      </c>
      <c r="B12">
        <v>8</v>
      </c>
      <c r="C12" t="s">
        <v>934</v>
      </c>
      <c r="D12">
        <v>38</v>
      </c>
      <c r="E12">
        <v>13</v>
      </c>
      <c r="F12">
        <v>10</v>
      </c>
      <c r="G12">
        <v>15</v>
      </c>
      <c r="H12">
        <v>51</v>
      </c>
      <c r="I12">
        <v>53</v>
      </c>
      <c r="J12">
        <v>-2</v>
      </c>
      <c r="K12">
        <v>49</v>
      </c>
      <c r="L12">
        <v>1.29</v>
      </c>
      <c r="M12">
        <v>45.5</v>
      </c>
      <c r="N12" s="58"/>
      <c r="O12" t="b">
        <v>0</v>
      </c>
      <c r="P12" t="b">
        <v>1</v>
      </c>
    </row>
    <row r="13" spans="1:22" s="3" customFormat="1" x14ac:dyDescent="0.25">
      <c r="A13" s="3" t="s">
        <v>1068</v>
      </c>
      <c r="B13" s="3">
        <v>5</v>
      </c>
      <c r="C13" s="3" t="s">
        <v>934</v>
      </c>
      <c r="D13" s="3">
        <v>38</v>
      </c>
      <c r="E13" s="3">
        <v>19</v>
      </c>
      <c r="F13" s="3">
        <v>8</v>
      </c>
      <c r="G13" s="3">
        <v>11</v>
      </c>
      <c r="H13" s="3">
        <v>67</v>
      </c>
      <c r="I13" s="3">
        <v>54</v>
      </c>
      <c r="J13" s="3">
        <v>13</v>
      </c>
      <c r="K13" s="3">
        <v>65</v>
      </c>
      <c r="L13" s="3">
        <v>1.71</v>
      </c>
      <c r="M13" s="3">
        <v>44.3</v>
      </c>
      <c r="N13" s="60"/>
      <c r="O13" s="3" t="b">
        <v>1</v>
      </c>
      <c r="P13" t="b">
        <v>1</v>
      </c>
      <c r="R13" s="60"/>
    </row>
    <row r="14" spans="1:22" s="3" customFormat="1" x14ac:dyDescent="0.25">
      <c r="A14" s="3" t="s">
        <v>1069</v>
      </c>
      <c r="B14" s="3">
        <v>3</v>
      </c>
      <c r="C14" s="3" t="s">
        <v>934</v>
      </c>
      <c r="D14" s="3">
        <v>38</v>
      </c>
      <c r="E14" s="3">
        <v>17</v>
      </c>
      <c r="F14" s="3">
        <v>10</v>
      </c>
      <c r="G14" s="3">
        <v>11</v>
      </c>
      <c r="H14" s="3">
        <v>59</v>
      </c>
      <c r="I14" s="3">
        <v>44</v>
      </c>
      <c r="J14" s="3">
        <v>15</v>
      </c>
      <c r="K14" s="3">
        <v>61</v>
      </c>
      <c r="L14" s="3">
        <v>1.61</v>
      </c>
      <c r="M14" s="3">
        <v>52</v>
      </c>
      <c r="N14" s="60"/>
      <c r="O14" s="3" t="b">
        <v>1</v>
      </c>
      <c r="P14" t="b">
        <v>0</v>
      </c>
      <c r="R14" s="60"/>
    </row>
    <row r="15" spans="1:22" s="3" customFormat="1" x14ac:dyDescent="0.25">
      <c r="A15" s="3" t="s">
        <v>1070</v>
      </c>
      <c r="B15" s="3">
        <v>3</v>
      </c>
      <c r="C15" s="3" t="s">
        <v>934</v>
      </c>
      <c r="D15" s="3">
        <v>38</v>
      </c>
      <c r="E15" s="3">
        <v>21</v>
      </c>
      <c r="F15" s="3">
        <v>8</v>
      </c>
      <c r="G15" s="3">
        <v>9</v>
      </c>
      <c r="H15" s="3">
        <v>64</v>
      </c>
      <c r="I15" s="3">
        <v>44</v>
      </c>
      <c r="J15" s="3">
        <v>20</v>
      </c>
      <c r="K15" s="3">
        <v>71</v>
      </c>
      <c r="L15" s="3">
        <v>1.87</v>
      </c>
      <c r="M15" s="3">
        <v>43.6</v>
      </c>
      <c r="N15" s="60"/>
      <c r="O15" s="3" t="b">
        <v>1</v>
      </c>
      <c r="P15" t="b">
        <v>0</v>
      </c>
      <c r="R15" s="60"/>
    </row>
    <row r="16" spans="1:22" s="3" customFormat="1" x14ac:dyDescent="0.25">
      <c r="A16" s="3" t="s">
        <v>1071</v>
      </c>
      <c r="B16" s="3">
        <v>3</v>
      </c>
      <c r="C16" s="3" t="s">
        <v>934</v>
      </c>
      <c r="D16" s="3">
        <v>38</v>
      </c>
      <c r="E16" s="3">
        <v>21</v>
      </c>
      <c r="F16" s="3">
        <v>8</v>
      </c>
      <c r="G16" s="3">
        <v>9</v>
      </c>
      <c r="H16" s="3">
        <v>59</v>
      </c>
      <c r="I16" s="3">
        <v>40</v>
      </c>
      <c r="J16" s="3">
        <v>19</v>
      </c>
      <c r="K16" s="3">
        <v>71</v>
      </c>
      <c r="L16" s="3">
        <v>1.87</v>
      </c>
      <c r="M16" s="3">
        <v>46.9</v>
      </c>
      <c r="N16" s="60"/>
      <c r="O16" s="3" t="b">
        <v>1</v>
      </c>
      <c r="P16" t="b">
        <v>0</v>
      </c>
      <c r="R16" s="60"/>
    </row>
    <row r="17" spans="1:18" s="3" customFormat="1" x14ac:dyDescent="0.25">
      <c r="A17" s="3" t="s">
        <v>1072</v>
      </c>
      <c r="B17" s="3">
        <v>6</v>
      </c>
      <c r="C17" s="3" t="s">
        <v>934</v>
      </c>
      <c r="D17" s="3">
        <v>38</v>
      </c>
      <c r="E17" s="3">
        <v>18</v>
      </c>
      <c r="F17" s="3">
        <v>8</v>
      </c>
      <c r="G17" s="3">
        <v>12</v>
      </c>
      <c r="H17" s="3">
        <v>68</v>
      </c>
      <c r="I17" s="3">
        <v>54</v>
      </c>
      <c r="J17" s="3">
        <v>14</v>
      </c>
      <c r="K17" s="3">
        <v>62</v>
      </c>
      <c r="L17" s="3">
        <v>1.63</v>
      </c>
      <c r="M17" s="3">
        <v>49</v>
      </c>
      <c r="N17" s="60"/>
      <c r="O17" s="3" t="b">
        <v>1</v>
      </c>
      <c r="P17" t="b">
        <v>0</v>
      </c>
      <c r="R17" s="60"/>
    </row>
    <row r="18" spans="1:18" x14ac:dyDescent="0.25">
      <c r="A18" t="s">
        <v>1073</v>
      </c>
      <c r="B18">
        <v>10</v>
      </c>
      <c r="C18" t="s">
        <v>934</v>
      </c>
      <c r="D18">
        <v>38</v>
      </c>
      <c r="E18">
        <v>15</v>
      </c>
      <c r="F18">
        <v>6</v>
      </c>
      <c r="G18">
        <v>17</v>
      </c>
      <c r="H18">
        <v>48</v>
      </c>
      <c r="I18">
        <v>62</v>
      </c>
      <c r="J18">
        <v>-14</v>
      </c>
      <c r="K18">
        <v>51</v>
      </c>
      <c r="L18">
        <v>1.34</v>
      </c>
      <c r="M18">
        <v>47.1</v>
      </c>
      <c r="N18" s="58"/>
      <c r="O18" t="b">
        <v>0</v>
      </c>
      <c r="P18" t="b">
        <v>1</v>
      </c>
    </row>
    <row r="19" spans="1:18" s="3" customFormat="1" ht="13.5" customHeight="1" x14ac:dyDescent="0.25">
      <c r="A19" s="3" t="s">
        <v>1074</v>
      </c>
      <c r="B19" s="3">
        <v>4</v>
      </c>
      <c r="C19" s="3" t="s">
        <v>934</v>
      </c>
      <c r="D19" s="3">
        <v>38</v>
      </c>
      <c r="E19" s="3">
        <v>20</v>
      </c>
      <c r="F19" s="3">
        <v>6</v>
      </c>
      <c r="G19" s="3">
        <v>12</v>
      </c>
      <c r="H19" s="3">
        <v>57</v>
      </c>
      <c r="I19" s="3">
        <v>42</v>
      </c>
      <c r="J19" s="3">
        <v>15</v>
      </c>
      <c r="K19" s="3">
        <v>66</v>
      </c>
      <c r="L19" s="3">
        <v>1.74</v>
      </c>
      <c r="M19" s="3">
        <v>48.6</v>
      </c>
      <c r="N19" s="60"/>
      <c r="O19" s="3" t="b">
        <v>1</v>
      </c>
      <c r="P19" t="b">
        <v>1</v>
      </c>
      <c r="R19" s="60"/>
    </row>
    <row r="20" spans="1:18" s="3" customFormat="1" x14ac:dyDescent="0.25">
      <c r="A20" s="3" t="s">
        <v>1075</v>
      </c>
      <c r="B20" s="3">
        <v>3</v>
      </c>
      <c r="C20" s="3" t="s">
        <v>934</v>
      </c>
      <c r="D20" s="3">
        <v>38</v>
      </c>
      <c r="E20" s="3">
        <v>19</v>
      </c>
      <c r="F20" s="3">
        <v>12</v>
      </c>
      <c r="G20" s="3">
        <v>7</v>
      </c>
      <c r="H20" s="3">
        <v>58</v>
      </c>
      <c r="I20" s="3">
        <v>33</v>
      </c>
      <c r="J20" s="3">
        <v>25</v>
      </c>
      <c r="K20" s="3">
        <v>69</v>
      </c>
      <c r="L20" s="3">
        <v>1.82</v>
      </c>
      <c r="M20" s="3">
        <v>47.5</v>
      </c>
      <c r="N20" s="60"/>
      <c r="O20" s="3" t="b">
        <v>1</v>
      </c>
      <c r="P20" t="b">
        <v>0</v>
      </c>
      <c r="R20" s="60"/>
    </row>
    <row r="21" spans="1:18" x14ac:dyDescent="0.25">
      <c r="A21" t="s">
        <v>1344</v>
      </c>
      <c r="B21">
        <v>7</v>
      </c>
      <c r="C21" t="s">
        <v>934</v>
      </c>
      <c r="D21">
        <v>38</v>
      </c>
      <c r="E21">
        <v>14</v>
      </c>
      <c r="F21">
        <v>16</v>
      </c>
      <c r="G21">
        <v>8</v>
      </c>
      <c r="H21">
        <v>54</v>
      </c>
      <c r="I21">
        <v>39</v>
      </c>
      <c r="J21">
        <v>15</v>
      </c>
      <c r="K21">
        <v>58</v>
      </c>
      <c r="L21">
        <v>1.53</v>
      </c>
      <c r="O21" t="b">
        <v>0</v>
      </c>
      <c r="P21" t="b">
        <v>1</v>
      </c>
    </row>
    <row r="22" spans="1:18" s="3" customFormat="1" x14ac:dyDescent="0.25">
      <c r="A22" s="3" t="s">
        <v>1345</v>
      </c>
      <c r="B22" s="3">
        <v>1</v>
      </c>
      <c r="C22" s="3" t="s">
        <v>934</v>
      </c>
      <c r="D22" s="3">
        <v>38</v>
      </c>
      <c r="E22" s="3">
        <v>23</v>
      </c>
      <c r="F22" s="3">
        <v>8</v>
      </c>
      <c r="G22" s="3">
        <v>7</v>
      </c>
      <c r="H22" s="3">
        <v>71</v>
      </c>
      <c r="I22" s="3">
        <v>27</v>
      </c>
      <c r="J22" s="3">
        <v>44</v>
      </c>
      <c r="K22" s="3">
        <v>77</v>
      </c>
      <c r="L22" s="3">
        <v>2.0299999999999998</v>
      </c>
      <c r="O22" s="3" t="b">
        <v>1</v>
      </c>
      <c r="P22" t="b">
        <v>0</v>
      </c>
      <c r="R22" s="60"/>
    </row>
    <row r="23" spans="1:18" s="3" customFormat="1" x14ac:dyDescent="0.25">
      <c r="A23" s="3" t="s">
        <v>1346</v>
      </c>
      <c r="B23" s="3">
        <v>5</v>
      </c>
      <c r="C23" s="3" t="s">
        <v>710</v>
      </c>
      <c r="D23" s="3">
        <v>38</v>
      </c>
      <c r="E23" s="3">
        <v>17</v>
      </c>
      <c r="F23" s="3">
        <v>9</v>
      </c>
      <c r="G23" s="3">
        <v>12</v>
      </c>
      <c r="H23" s="3">
        <v>56</v>
      </c>
      <c r="I23" s="3">
        <v>35</v>
      </c>
      <c r="J23" s="3">
        <v>21</v>
      </c>
      <c r="K23" s="3">
        <v>60</v>
      </c>
      <c r="L23" s="3">
        <v>1.58</v>
      </c>
      <c r="P23" t="b">
        <v>0</v>
      </c>
      <c r="R23" s="60"/>
    </row>
    <row r="24" spans="1:18" s="3" customFormat="1" x14ac:dyDescent="0.25">
      <c r="A24" s="3" t="s">
        <v>1347</v>
      </c>
      <c r="B24" s="3">
        <v>1</v>
      </c>
      <c r="C24" s="3" t="s">
        <v>934</v>
      </c>
      <c r="D24" s="3">
        <v>38</v>
      </c>
      <c r="E24" s="3">
        <v>21</v>
      </c>
      <c r="F24" s="3">
        <v>12</v>
      </c>
      <c r="G24" s="3">
        <v>5</v>
      </c>
      <c r="H24" s="3">
        <v>51</v>
      </c>
      <c r="I24" s="3">
        <v>27</v>
      </c>
      <c r="J24" s="3">
        <v>24</v>
      </c>
      <c r="K24" s="3">
        <v>75</v>
      </c>
      <c r="L24" s="3">
        <v>1.97</v>
      </c>
      <c r="P24" t="b">
        <v>0</v>
      </c>
      <c r="R24" s="60"/>
    </row>
    <row r="25" spans="1:18" s="3" customFormat="1" x14ac:dyDescent="0.25">
      <c r="A25" s="3" t="s">
        <v>1348</v>
      </c>
      <c r="B25" s="3">
        <v>5</v>
      </c>
      <c r="C25" s="3" t="s">
        <v>934</v>
      </c>
      <c r="D25" s="3">
        <v>38</v>
      </c>
      <c r="E25" s="3">
        <v>18</v>
      </c>
      <c r="F25" s="3">
        <v>9</v>
      </c>
      <c r="G25" s="3">
        <v>11</v>
      </c>
      <c r="H25" s="3">
        <v>55</v>
      </c>
      <c r="I25" s="3">
        <v>34</v>
      </c>
      <c r="J25" s="3">
        <v>21</v>
      </c>
      <c r="K25" s="3">
        <v>63</v>
      </c>
      <c r="L25" s="3">
        <v>1.66</v>
      </c>
      <c r="P25" t="b">
        <v>0</v>
      </c>
      <c r="R25" s="60"/>
    </row>
    <row r="26" spans="1:18" s="3" customFormat="1" x14ac:dyDescent="0.25">
      <c r="A26" s="3" t="s">
        <v>1351</v>
      </c>
      <c r="B26" s="3">
        <v>3</v>
      </c>
      <c r="C26" s="3" t="s">
        <v>710</v>
      </c>
      <c r="D26" s="3">
        <v>38</v>
      </c>
      <c r="E26" s="3">
        <v>18</v>
      </c>
      <c r="F26" s="3">
        <v>10</v>
      </c>
      <c r="G26" s="3">
        <v>10</v>
      </c>
      <c r="H26" s="3">
        <v>59</v>
      </c>
      <c r="I26" s="3">
        <v>39</v>
      </c>
      <c r="J26" s="3">
        <v>20</v>
      </c>
      <c r="K26" s="3">
        <v>64</v>
      </c>
      <c r="L26" s="3">
        <v>1.68</v>
      </c>
      <c r="P26" t="b">
        <v>1</v>
      </c>
      <c r="R26" s="60"/>
    </row>
    <row r="27" spans="1:18" s="3" customFormat="1" x14ac:dyDescent="0.25">
      <c r="A27" s="3" t="s">
        <v>1349</v>
      </c>
      <c r="B27" s="3">
        <v>4</v>
      </c>
      <c r="C27" s="3" t="s">
        <v>934</v>
      </c>
      <c r="D27" s="3">
        <v>38</v>
      </c>
      <c r="E27" s="3">
        <v>19</v>
      </c>
      <c r="F27" s="3">
        <v>8</v>
      </c>
      <c r="G27" s="3">
        <v>11</v>
      </c>
      <c r="H27" s="3">
        <v>63</v>
      </c>
      <c r="I27" s="3">
        <v>39</v>
      </c>
      <c r="J27" s="3">
        <v>24</v>
      </c>
      <c r="K27" s="3">
        <v>65</v>
      </c>
      <c r="L27" s="3">
        <v>1.71</v>
      </c>
      <c r="P27" t="b">
        <v>0</v>
      </c>
      <c r="R27" s="60"/>
    </row>
    <row r="28" spans="1:18" x14ac:dyDescent="0.25">
      <c r="A28" t="s">
        <v>1350</v>
      </c>
      <c r="B28">
        <v>9</v>
      </c>
      <c r="C28" t="s">
        <v>710</v>
      </c>
      <c r="D28">
        <v>38</v>
      </c>
      <c r="E28">
        <v>16</v>
      </c>
      <c r="F28">
        <v>7</v>
      </c>
      <c r="G28">
        <v>15</v>
      </c>
      <c r="H28">
        <v>58</v>
      </c>
      <c r="I28">
        <v>52</v>
      </c>
      <c r="J28">
        <v>6</v>
      </c>
      <c r="K28">
        <v>55</v>
      </c>
      <c r="L28">
        <v>1.45</v>
      </c>
      <c r="P28" t="b">
        <v>0</v>
      </c>
    </row>
    <row r="29" spans="1:18" x14ac:dyDescent="0.25">
      <c r="A29" t="s">
        <v>1352</v>
      </c>
      <c r="B29">
        <v>10</v>
      </c>
      <c r="C29" t="s">
        <v>934</v>
      </c>
      <c r="D29">
        <v>42</v>
      </c>
      <c r="E29">
        <v>15</v>
      </c>
      <c r="F29">
        <v>11</v>
      </c>
      <c r="G29">
        <v>16</v>
      </c>
      <c r="H29">
        <v>63</v>
      </c>
      <c r="I29">
        <v>59</v>
      </c>
      <c r="J29">
        <v>4</v>
      </c>
      <c r="K29">
        <v>56</v>
      </c>
      <c r="L29">
        <v>1.33</v>
      </c>
      <c r="P29" t="b">
        <v>1</v>
      </c>
    </row>
    <row r="30" spans="1:18" s="3" customFormat="1" x14ac:dyDescent="0.25">
      <c r="A30" s="3" t="s">
        <v>1353</v>
      </c>
      <c r="B30" s="3">
        <v>2</v>
      </c>
      <c r="C30" s="3" t="s">
        <v>934</v>
      </c>
      <c r="D30" s="3">
        <v>42</v>
      </c>
      <c r="E30" s="3">
        <v>26</v>
      </c>
      <c r="F30" s="3">
        <v>5</v>
      </c>
      <c r="G30" s="3">
        <v>11</v>
      </c>
      <c r="H30" s="3">
        <v>77</v>
      </c>
      <c r="I30" s="3">
        <v>51</v>
      </c>
      <c r="J30" s="3">
        <v>26</v>
      </c>
      <c r="K30" s="3">
        <v>83</v>
      </c>
      <c r="L30" s="3">
        <v>1.98</v>
      </c>
      <c r="P30" t="b">
        <v>1</v>
      </c>
      <c r="R30" s="60"/>
    </row>
    <row r="31" spans="1:18" x14ac:dyDescent="0.25">
      <c r="A31" t="s">
        <v>1354</v>
      </c>
      <c r="B31">
        <v>10</v>
      </c>
      <c r="C31" t="s">
        <v>710</v>
      </c>
      <c r="D31">
        <v>38</v>
      </c>
      <c r="E31">
        <v>13</v>
      </c>
      <c r="F31">
        <v>12</v>
      </c>
      <c r="G31">
        <v>13</v>
      </c>
      <c r="H31">
        <v>53</v>
      </c>
      <c r="I31">
        <v>48</v>
      </c>
      <c r="J31">
        <v>5</v>
      </c>
      <c r="K31">
        <v>38</v>
      </c>
      <c r="L31">
        <v>1</v>
      </c>
      <c r="P31" t="b">
        <v>1</v>
      </c>
    </row>
    <row r="32" spans="1:18" x14ac:dyDescent="0.25">
      <c r="A32" t="s">
        <v>1355</v>
      </c>
      <c r="B32">
        <v>7</v>
      </c>
      <c r="C32" t="s">
        <v>710</v>
      </c>
      <c r="D32">
        <v>38</v>
      </c>
      <c r="E32">
        <v>14</v>
      </c>
      <c r="F32">
        <v>12</v>
      </c>
      <c r="G32">
        <v>12</v>
      </c>
      <c r="H32">
        <v>55</v>
      </c>
      <c r="I32">
        <v>50</v>
      </c>
      <c r="J32">
        <v>5</v>
      </c>
      <c r="K32">
        <v>40</v>
      </c>
      <c r="L32">
        <v>1.05</v>
      </c>
      <c r="P32" t="b">
        <v>1</v>
      </c>
    </row>
    <row r="33" spans="1:18" s="3" customFormat="1" x14ac:dyDescent="0.25">
      <c r="A33" s="3" t="s">
        <v>1356</v>
      </c>
      <c r="B33" s="3">
        <v>4</v>
      </c>
      <c r="C33" s="3" t="s">
        <v>934</v>
      </c>
      <c r="D33" s="3">
        <v>38</v>
      </c>
      <c r="E33" s="3">
        <v>19</v>
      </c>
      <c r="F33" s="3">
        <v>10</v>
      </c>
      <c r="G33" s="3">
        <v>9</v>
      </c>
      <c r="H33" s="3">
        <v>60</v>
      </c>
      <c r="I33" s="3">
        <v>33</v>
      </c>
      <c r="J33" s="3">
        <v>27</v>
      </c>
      <c r="K33" s="3">
        <v>48</v>
      </c>
      <c r="L33" s="3">
        <v>1.26</v>
      </c>
      <c r="P33" t="b">
        <v>1</v>
      </c>
      <c r="R33" s="60"/>
    </row>
    <row r="34" spans="1:18" s="3" customFormat="1" x14ac:dyDescent="0.25">
      <c r="A34" s="3" t="s">
        <v>1357</v>
      </c>
      <c r="B34" s="3">
        <v>4</v>
      </c>
      <c r="C34" s="3" t="s">
        <v>710</v>
      </c>
      <c r="D34" s="3">
        <v>38</v>
      </c>
      <c r="E34" s="3">
        <v>20</v>
      </c>
      <c r="F34" s="3">
        <v>7</v>
      </c>
      <c r="G34" s="3">
        <v>11</v>
      </c>
      <c r="H34" s="3">
        <v>63</v>
      </c>
      <c r="I34" s="3">
        <v>42</v>
      </c>
      <c r="J34" s="3">
        <v>21</v>
      </c>
      <c r="K34" s="3">
        <v>47</v>
      </c>
      <c r="L34" s="3">
        <v>1.24</v>
      </c>
      <c r="P34" t="b">
        <v>0</v>
      </c>
      <c r="R34" s="60"/>
    </row>
    <row r="35" spans="1:18" x14ac:dyDescent="0.25">
      <c r="A35" t="s">
        <v>1358</v>
      </c>
      <c r="B35">
        <v>7</v>
      </c>
      <c r="C35" t="s">
        <v>934</v>
      </c>
      <c r="D35">
        <v>38</v>
      </c>
      <c r="E35">
        <v>15</v>
      </c>
      <c r="F35">
        <v>10</v>
      </c>
      <c r="G35">
        <v>13</v>
      </c>
      <c r="H35">
        <v>44</v>
      </c>
      <c r="I35">
        <v>40</v>
      </c>
      <c r="J35">
        <v>4</v>
      </c>
      <c r="K35">
        <v>40</v>
      </c>
      <c r="L35">
        <v>1.05</v>
      </c>
      <c r="P35" t="b">
        <v>0</v>
      </c>
    </row>
    <row r="36" spans="1:18" s="3" customFormat="1" x14ac:dyDescent="0.25">
      <c r="A36" s="3" t="s">
        <v>1359</v>
      </c>
      <c r="B36" s="3">
        <v>2</v>
      </c>
      <c r="C36" s="3" t="s">
        <v>710</v>
      </c>
      <c r="D36" s="3">
        <v>38</v>
      </c>
      <c r="E36" s="3">
        <v>20</v>
      </c>
      <c r="F36" s="3">
        <v>13</v>
      </c>
      <c r="G36" s="3">
        <v>5</v>
      </c>
      <c r="H36" s="3">
        <v>67</v>
      </c>
      <c r="I36" s="3">
        <v>42</v>
      </c>
      <c r="J36" s="3">
        <v>25</v>
      </c>
      <c r="K36" s="3">
        <v>53</v>
      </c>
      <c r="L36" s="3">
        <v>1.39</v>
      </c>
      <c r="P36" t="b">
        <v>0</v>
      </c>
      <c r="R36" s="60"/>
    </row>
    <row r="37" spans="1:18" s="3" customFormat="1" x14ac:dyDescent="0.25">
      <c r="A37" s="3" t="s">
        <v>1360</v>
      </c>
      <c r="B37" s="3">
        <v>3</v>
      </c>
      <c r="C37" s="3" t="s">
        <v>934</v>
      </c>
      <c r="D37" s="3">
        <v>38</v>
      </c>
      <c r="E37" s="3">
        <v>18</v>
      </c>
      <c r="F37" s="3">
        <v>13</v>
      </c>
      <c r="G37" s="3">
        <v>7</v>
      </c>
      <c r="H37" s="3">
        <v>39</v>
      </c>
      <c r="I37" s="3">
        <v>26</v>
      </c>
      <c r="J37" s="3">
        <v>13</v>
      </c>
      <c r="K37" s="3">
        <v>49</v>
      </c>
      <c r="L37" s="3">
        <v>1.29</v>
      </c>
      <c r="P37" t="b">
        <v>0</v>
      </c>
      <c r="R37" s="60"/>
    </row>
    <row r="41" spans="1:18" x14ac:dyDescent="0.25">
      <c r="I41" t="s">
        <v>1368</v>
      </c>
      <c r="L41" s="36">
        <f>AVERAGE(L7,L8,L11,L13,L14,L15,L16,L17,L19,L20,L22,L23,L24,L25,L26,L27,L30,L33,L34,L36,L37)</f>
        <v>1.6952380952380952</v>
      </c>
    </row>
    <row r="42" spans="1:18" x14ac:dyDescent="0.25">
      <c r="I42" t="s">
        <v>1369</v>
      </c>
      <c r="L42">
        <f>AVERAGE(L2:L37)</f>
        <v>1.5052777777777775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FC67-EDE3-4AE9-BE5A-EB59CFD3598A}">
  <dimension ref="A1:V43"/>
  <sheetViews>
    <sheetView tabSelected="1" topLeftCell="C1" workbookViewId="0">
      <selection activeCell="P23" sqref="P23"/>
    </sheetView>
  </sheetViews>
  <sheetFormatPr defaultRowHeight="15" x14ac:dyDescent="0.25"/>
  <sheetData>
    <row r="1" spans="1:22" x14ac:dyDescent="0.25">
      <c r="A1" t="s">
        <v>17</v>
      </c>
      <c r="B1" t="s">
        <v>4</v>
      </c>
      <c r="C1" t="s">
        <v>20</v>
      </c>
      <c r="D1" t="s">
        <v>21</v>
      </c>
      <c r="E1" t="s">
        <v>23</v>
      </c>
      <c r="F1" t="s">
        <v>578</v>
      </c>
      <c r="G1" t="s">
        <v>1309</v>
      </c>
      <c r="H1" t="s">
        <v>1361</v>
      </c>
      <c r="I1" t="s">
        <v>1362</v>
      </c>
      <c r="J1" t="s">
        <v>1363</v>
      </c>
      <c r="K1" t="s">
        <v>1364</v>
      </c>
      <c r="L1" t="s">
        <v>1365</v>
      </c>
      <c r="M1" s="36" t="s">
        <v>577</v>
      </c>
      <c r="N1" t="s">
        <v>42</v>
      </c>
    </row>
    <row r="2" spans="1:22" x14ac:dyDescent="0.25">
      <c r="A2">
        <v>38</v>
      </c>
      <c r="B2">
        <v>10</v>
      </c>
      <c r="C2">
        <v>40</v>
      </c>
      <c r="D2">
        <v>45</v>
      </c>
      <c r="E2">
        <v>49</v>
      </c>
      <c r="F2">
        <v>1.29</v>
      </c>
      <c r="G2">
        <v>1</v>
      </c>
      <c r="H2" t="s">
        <v>1366</v>
      </c>
      <c r="I2">
        <v>1</v>
      </c>
      <c r="J2">
        <v>0.70799999999999996</v>
      </c>
      <c r="K2">
        <v>0.29199999999999998</v>
      </c>
      <c r="L2">
        <v>0.70799999999999996</v>
      </c>
      <c r="M2">
        <v>9</v>
      </c>
      <c r="N2" t="s">
        <v>953</v>
      </c>
    </row>
    <row r="3" spans="1:22" x14ac:dyDescent="0.25">
      <c r="A3">
        <v>38</v>
      </c>
      <c r="B3">
        <v>9</v>
      </c>
      <c r="C3">
        <v>42</v>
      </c>
      <c r="D3">
        <v>45</v>
      </c>
      <c r="E3">
        <v>42</v>
      </c>
      <c r="F3">
        <v>1.1100000000000001</v>
      </c>
      <c r="G3">
        <v>1</v>
      </c>
      <c r="H3" t="s">
        <v>1366</v>
      </c>
      <c r="I3">
        <v>1</v>
      </c>
      <c r="J3">
        <v>0.51300000000000001</v>
      </c>
      <c r="K3">
        <v>0.48699999999999999</v>
      </c>
      <c r="L3">
        <v>0.51300000000000001</v>
      </c>
      <c r="M3">
        <v>16</v>
      </c>
      <c r="N3" t="s">
        <v>954</v>
      </c>
    </row>
    <row r="4" spans="1:22" x14ac:dyDescent="0.25">
      <c r="A4">
        <v>38</v>
      </c>
      <c r="B4">
        <v>15</v>
      </c>
      <c r="C4">
        <v>48</v>
      </c>
      <c r="D4">
        <v>53</v>
      </c>
      <c r="E4">
        <v>48</v>
      </c>
      <c r="F4">
        <v>1.26</v>
      </c>
      <c r="G4">
        <v>1</v>
      </c>
      <c r="H4" t="s">
        <v>1367</v>
      </c>
      <c r="I4">
        <v>1</v>
      </c>
      <c r="J4">
        <v>0.998</v>
      </c>
      <c r="K4">
        <v>2E-3</v>
      </c>
      <c r="L4">
        <v>0.998</v>
      </c>
      <c r="M4">
        <v>9</v>
      </c>
      <c r="N4" t="s">
        <v>955</v>
      </c>
    </row>
    <row r="5" spans="1:22" x14ac:dyDescent="0.25">
      <c r="A5">
        <v>38</v>
      </c>
      <c r="B5">
        <v>13</v>
      </c>
      <c r="C5">
        <v>50</v>
      </c>
      <c r="D5">
        <v>53</v>
      </c>
      <c r="E5">
        <v>43</v>
      </c>
      <c r="F5">
        <v>1.1299999999999999</v>
      </c>
      <c r="G5">
        <v>1</v>
      </c>
      <c r="H5" t="s">
        <v>1367</v>
      </c>
      <c r="I5">
        <v>1</v>
      </c>
      <c r="J5">
        <v>0.99299999999999999</v>
      </c>
      <c r="K5">
        <v>7.0000000000000001E-3</v>
      </c>
      <c r="L5">
        <v>0.99299999999999999</v>
      </c>
      <c r="M5">
        <v>13</v>
      </c>
      <c r="N5" t="s">
        <v>956</v>
      </c>
    </row>
    <row r="6" spans="1:22" x14ac:dyDescent="0.25">
      <c r="A6">
        <v>38</v>
      </c>
      <c r="B6">
        <v>11</v>
      </c>
      <c r="C6">
        <v>46</v>
      </c>
      <c r="D6">
        <v>53</v>
      </c>
      <c r="E6">
        <v>53</v>
      </c>
      <c r="F6">
        <v>1.39</v>
      </c>
      <c r="G6">
        <v>1</v>
      </c>
      <c r="H6" t="s">
        <v>1366</v>
      </c>
      <c r="I6">
        <v>1</v>
      </c>
      <c r="J6">
        <v>0.98399999999999999</v>
      </c>
      <c r="K6">
        <v>1.6E-2</v>
      </c>
      <c r="L6">
        <v>0.98399999999999999</v>
      </c>
      <c r="M6">
        <v>9</v>
      </c>
      <c r="N6" t="s">
        <v>957</v>
      </c>
    </row>
    <row r="7" spans="1:22" x14ac:dyDescent="0.25">
      <c r="A7">
        <v>38</v>
      </c>
      <c r="B7">
        <v>16</v>
      </c>
      <c r="C7">
        <v>51</v>
      </c>
      <c r="D7">
        <v>35</v>
      </c>
      <c r="E7">
        <v>61</v>
      </c>
      <c r="F7">
        <v>1.61</v>
      </c>
      <c r="G7">
        <v>1</v>
      </c>
      <c r="H7" t="s">
        <v>1366</v>
      </c>
      <c r="I7">
        <v>1</v>
      </c>
      <c r="J7">
        <v>0.83899999999999997</v>
      </c>
      <c r="K7">
        <v>0.161</v>
      </c>
      <c r="L7">
        <v>0.83899999999999997</v>
      </c>
      <c r="M7" s="3">
        <v>4</v>
      </c>
      <c r="N7" s="3" t="s">
        <v>958</v>
      </c>
    </row>
    <row r="8" spans="1:22" x14ac:dyDescent="0.25">
      <c r="A8">
        <v>38</v>
      </c>
      <c r="B8">
        <v>7</v>
      </c>
      <c r="C8">
        <v>65</v>
      </c>
      <c r="D8">
        <v>38</v>
      </c>
      <c r="E8">
        <v>73</v>
      </c>
      <c r="F8">
        <v>1.92</v>
      </c>
      <c r="G8">
        <v>1</v>
      </c>
      <c r="H8" t="s">
        <v>1367</v>
      </c>
      <c r="I8">
        <v>0</v>
      </c>
      <c r="J8">
        <v>0.78300000000000003</v>
      </c>
      <c r="K8">
        <v>0.78300000000000003</v>
      </c>
      <c r="L8">
        <v>0.217</v>
      </c>
      <c r="M8" s="3">
        <v>4</v>
      </c>
      <c r="N8" s="3" t="s">
        <v>959</v>
      </c>
    </row>
    <row r="9" spans="1:22" x14ac:dyDescent="0.25">
      <c r="A9">
        <v>38</v>
      </c>
      <c r="B9">
        <v>7</v>
      </c>
      <c r="C9">
        <v>56</v>
      </c>
      <c r="D9">
        <v>65</v>
      </c>
      <c r="E9">
        <v>46</v>
      </c>
      <c r="F9">
        <v>1.21</v>
      </c>
      <c r="G9">
        <v>1</v>
      </c>
      <c r="H9" t="s">
        <v>1366</v>
      </c>
      <c r="I9">
        <v>1</v>
      </c>
      <c r="J9">
        <v>0.99399999999999999</v>
      </c>
      <c r="K9">
        <v>6.0000000000000001E-3</v>
      </c>
      <c r="L9">
        <v>0.99399999999999999</v>
      </c>
      <c r="M9">
        <v>12</v>
      </c>
      <c r="N9" t="s">
        <v>960</v>
      </c>
      <c r="V9" s="3"/>
    </row>
    <row r="10" spans="1:22" x14ac:dyDescent="0.25">
      <c r="A10">
        <v>38</v>
      </c>
      <c r="B10">
        <v>11</v>
      </c>
      <c r="C10">
        <v>46</v>
      </c>
      <c r="D10">
        <v>48</v>
      </c>
      <c r="E10">
        <v>44</v>
      </c>
      <c r="F10">
        <v>1.1599999999999999</v>
      </c>
      <c r="G10">
        <v>1</v>
      </c>
      <c r="H10" t="s">
        <v>1366</v>
      </c>
      <c r="I10">
        <v>1</v>
      </c>
      <c r="J10">
        <v>0.90300000000000002</v>
      </c>
      <c r="K10">
        <v>9.7000000000000003E-2</v>
      </c>
      <c r="L10">
        <v>0.90300000000000002</v>
      </c>
      <c r="M10">
        <v>12</v>
      </c>
      <c r="N10" t="s">
        <v>961</v>
      </c>
      <c r="V10" s="3"/>
    </row>
    <row r="11" spans="1:22" ht="15.75" thickBot="1" x14ac:dyDescent="0.3">
      <c r="A11">
        <v>38</v>
      </c>
      <c r="B11">
        <v>11</v>
      </c>
      <c r="C11">
        <v>70</v>
      </c>
      <c r="D11">
        <v>32</v>
      </c>
      <c r="E11">
        <v>77</v>
      </c>
      <c r="F11">
        <v>2.0299999999999998</v>
      </c>
      <c r="G11">
        <v>1</v>
      </c>
      <c r="H11" t="s">
        <v>1366</v>
      </c>
      <c r="I11">
        <v>0</v>
      </c>
      <c r="J11">
        <v>0.70299999999999996</v>
      </c>
      <c r="K11">
        <v>0.70299999999999996</v>
      </c>
      <c r="L11">
        <v>0.29699999999999999</v>
      </c>
      <c r="M11" s="3">
        <v>4</v>
      </c>
      <c r="N11" s="3" t="s">
        <v>1032</v>
      </c>
    </row>
    <row r="12" spans="1:22" x14ac:dyDescent="0.25">
      <c r="A12">
        <v>38</v>
      </c>
      <c r="B12">
        <v>10</v>
      </c>
      <c r="C12">
        <v>51</v>
      </c>
      <c r="D12">
        <v>53</v>
      </c>
      <c r="E12">
        <v>49</v>
      </c>
      <c r="F12">
        <v>1.29</v>
      </c>
      <c r="G12">
        <v>1</v>
      </c>
      <c r="H12" t="s">
        <v>1367</v>
      </c>
      <c r="I12">
        <v>1</v>
      </c>
      <c r="J12">
        <v>0.96599999999999997</v>
      </c>
      <c r="K12">
        <v>3.4000000000000002E-2</v>
      </c>
      <c r="L12">
        <v>0.96599999999999997</v>
      </c>
      <c r="M12">
        <v>8</v>
      </c>
      <c r="N12" t="s">
        <v>1067</v>
      </c>
      <c r="Q12" s="62"/>
      <c r="R12" s="63" t="s">
        <v>578</v>
      </c>
      <c r="S12" s="63" t="s">
        <v>1362</v>
      </c>
      <c r="T12" s="63" t="s">
        <v>1363</v>
      </c>
      <c r="U12" s="63" t="s">
        <v>1364</v>
      </c>
      <c r="V12" s="64" t="s">
        <v>1365</v>
      </c>
    </row>
    <row r="13" spans="1:22" x14ac:dyDescent="0.25">
      <c r="A13">
        <v>38</v>
      </c>
      <c r="B13">
        <v>8</v>
      </c>
      <c r="C13">
        <v>67</v>
      </c>
      <c r="D13">
        <v>54</v>
      </c>
      <c r="E13">
        <v>65</v>
      </c>
      <c r="F13">
        <v>1.71</v>
      </c>
      <c r="G13">
        <v>1</v>
      </c>
      <c r="H13" t="s">
        <v>1367</v>
      </c>
      <c r="I13">
        <v>1</v>
      </c>
      <c r="J13">
        <v>0.96599999999999997</v>
      </c>
      <c r="K13">
        <v>3.4000000000000002E-2</v>
      </c>
      <c r="L13">
        <v>0.96599999999999997</v>
      </c>
      <c r="M13" s="3">
        <v>5</v>
      </c>
      <c r="N13" s="3" t="s">
        <v>1068</v>
      </c>
      <c r="Q13" s="65" t="s">
        <v>954</v>
      </c>
      <c r="R13" s="61">
        <v>1.29</v>
      </c>
      <c r="S13" s="61">
        <v>1</v>
      </c>
      <c r="T13" s="61">
        <v>0.70799999999999996</v>
      </c>
      <c r="U13" s="61">
        <v>0.29199999999999998</v>
      </c>
      <c r="V13" s="66">
        <v>0.70799999999999996</v>
      </c>
    </row>
    <row r="14" spans="1:22" x14ac:dyDescent="0.25">
      <c r="A14">
        <v>38</v>
      </c>
      <c r="B14">
        <v>10</v>
      </c>
      <c r="C14">
        <v>59</v>
      </c>
      <c r="D14">
        <v>44</v>
      </c>
      <c r="E14">
        <v>61</v>
      </c>
      <c r="F14">
        <v>1.61</v>
      </c>
      <c r="G14">
        <v>0</v>
      </c>
      <c r="H14" t="s">
        <v>1367</v>
      </c>
      <c r="I14">
        <v>1</v>
      </c>
      <c r="J14">
        <v>0.751</v>
      </c>
      <c r="K14">
        <v>0.249</v>
      </c>
      <c r="L14">
        <v>0.751</v>
      </c>
      <c r="M14" s="3">
        <v>3</v>
      </c>
      <c r="N14" s="3" t="s">
        <v>1069</v>
      </c>
      <c r="Q14" s="65" t="s">
        <v>958</v>
      </c>
      <c r="R14" s="61">
        <v>1.61</v>
      </c>
      <c r="S14" s="61">
        <v>1</v>
      </c>
      <c r="T14" s="61">
        <v>0.83899999999999997</v>
      </c>
      <c r="U14" s="61">
        <v>0.161</v>
      </c>
      <c r="V14" s="66">
        <v>0.83899999999999997</v>
      </c>
    </row>
    <row r="15" spans="1:22" x14ac:dyDescent="0.25">
      <c r="A15">
        <v>38</v>
      </c>
      <c r="B15">
        <v>8</v>
      </c>
      <c r="C15">
        <v>64</v>
      </c>
      <c r="D15">
        <v>44</v>
      </c>
      <c r="E15">
        <v>71</v>
      </c>
      <c r="F15">
        <v>1.87</v>
      </c>
      <c r="G15">
        <v>0</v>
      </c>
      <c r="H15" t="s">
        <v>1366</v>
      </c>
      <c r="I15">
        <v>1</v>
      </c>
      <c r="J15">
        <v>0.63600000000000001</v>
      </c>
      <c r="K15">
        <v>0.36399999999999999</v>
      </c>
      <c r="L15">
        <v>0.63600000000000001</v>
      </c>
      <c r="M15" s="3">
        <v>3</v>
      </c>
      <c r="N15" s="3" t="s">
        <v>1070</v>
      </c>
      <c r="Q15" s="67" t="s">
        <v>1069</v>
      </c>
      <c r="R15" s="61">
        <v>1.61</v>
      </c>
      <c r="S15" s="61">
        <v>1</v>
      </c>
      <c r="T15" s="61">
        <v>0.751</v>
      </c>
      <c r="U15" s="61">
        <v>0.249</v>
      </c>
      <c r="V15" s="66">
        <v>0.751</v>
      </c>
    </row>
    <row r="16" spans="1:22" x14ac:dyDescent="0.25">
      <c r="A16">
        <v>38</v>
      </c>
      <c r="B16">
        <v>8</v>
      </c>
      <c r="C16">
        <v>64</v>
      </c>
      <c r="D16">
        <v>44</v>
      </c>
      <c r="E16">
        <v>71</v>
      </c>
      <c r="F16">
        <v>1.87</v>
      </c>
      <c r="G16">
        <v>0</v>
      </c>
      <c r="H16" t="s">
        <v>1366</v>
      </c>
      <c r="I16">
        <v>1</v>
      </c>
      <c r="J16">
        <v>0.63600000000000001</v>
      </c>
      <c r="K16">
        <v>0.36399999999999999</v>
      </c>
      <c r="L16">
        <v>0.63600000000000001</v>
      </c>
      <c r="M16" s="3">
        <v>3</v>
      </c>
      <c r="N16" s="3" t="s">
        <v>1071</v>
      </c>
      <c r="Q16" s="65" t="s">
        <v>1072</v>
      </c>
      <c r="R16" s="61">
        <v>1.87</v>
      </c>
      <c r="S16" s="61">
        <v>0</v>
      </c>
      <c r="T16" s="61">
        <v>0.65700000000000003</v>
      </c>
      <c r="U16" s="61">
        <v>0.65700000000000003</v>
      </c>
      <c r="V16" s="66">
        <v>0.34300000000000003</v>
      </c>
    </row>
    <row r="17" spans="1:22" x14ac:dyDescent="0.25">
      <c r="A17">
        <v>38</v>
      </c>
      <c r="B17">
        <v>8</v>
      </c>
      <c r="C17">
        <v>59</v>
      </c>
      <c r="D17">
        <v>40</v>
      </c>
      <c r="E17">
        <v>71</v>
      </c>
      <c r="F17">
        <v>1.87</v>
      </c>
      <c r="G17">
        <v>0</v>
      </c>
      <c r="H17" t="s">
        <v>1367</v>
      </c>
      <c r="I17">
        <v>0</v>
      </c>
      <c r="J17">
        <v>0.65700000000000003</v>
      </c>
      <c r="K17">
        <v>0.65700000000000003</v>
      </c>
      <c r="L17">
        <v>0.34300000000000003</v>
      </c>
      <c r="M17" s="3">
        <v>6</v>
      </c>
      <c r="N17" s="3" t="s">
        <v>1072</v>
      </c>
      <c r="Q17" s="65" t="s">
        <v>1344</v>
      </c>
      <c r="R17" s="61">
        <v>1.82</v>
      </c>
      <c r="S17" s="61">
        <v>0</v>
      </c>
      <c r="T17" s="61">
        <v>0.64800000000000002</v>
      </c>
      <c r="U17" s="61">
        <v>0.64800000000000002</v>
      </c>
      <c r="V17" s="66">
        <v>0.35199999999999998</v>
      </c>
    </row>
    <row r="18" spans="1:22" x14ac:dyDescent="0.25">
      <c r="A18">
        <v>38</v>
      </c>
      <c r="B18">
        <v>8</v>
      </c>
      <c r="C18">
        <v>68</v>
      </c>
      <c r="D18">
        <v>54</v>
      </c>
      <c r="E18">
        <v>62</v>
      </c>
      <c r="F18">
        <v>1.63</v>
      </c>
      <c r="G18">
        <v>0</v>
      </c>
      <c r="H18" t="s">
        <v>1367</v>
      </c>
      <c r="I18">
        <v>1</v>
      </c>
      <c r="J18">
        <v>0.96799999999999997</v>
      </c>
      <c r="K18">
        <v>3.2000000000000001E-2</v>
      </c>
      <c r="L18">
        <v>0.96799999999999997</v>
      </c>
      <c r="M18">
        <v>10</v>
      </c>
      <c r="N18" t="s">
        <v>1073</v>
      </c>
      <c r="Q18" s="65" t="s">
        <v>1348</v>
      </c>
      <c r="R18" s="61">
        <v>1.58</v>
      </c>
      <c r="S18" s="61">
        <v>0</v>
      </c>
      <c r="T18" s="61">
        <v>0.83299999999999996</v>
      </c>
      <c r="U18" s="61">
        <v>0.83299999999999996</v>
      </c>
      <c r="V18" s="66">
        <v>0.16700000000000001</v>
      </c>
    </row>
    <row r="19" spans="1:22" ht="15.75" thickBot="1" x14ac:dyDescent="0.3">
      <c r="A19">
        <v>38</v>
      </c>
      <c r="B19">
        <v>6</v>
      </c>
      <c r="C19">
        <v>48</v>
      </c>
      <c r="D19">
        <v>62</v>
      </c>
      <c r="E19">
        <v>51</v>
      </c>
      <c r="F19">
        <v>1.34</v>
      </c>
      <c r="G19">
        <v>1</v>
      </c>
      <c r="H19" t="s">
        <v>1366</v>
      </c>
      <c r="I19">
        <v>1</v>
      </c>
      <c r="J19">
        <v>0.97499999999999998</v>
      </c>
      <c r="K19">
        <v>2.5000000000000001E-2</v>
      </c>
      <c r="L19">
        <v>0.97499999999999998</v>
      </c>
      <c r="M19" s="3">
        <v>4</v>
      </c>
      <c r="N19" s="3" t="s">
        <v>1074</v>
      </c>
      <c r="Q19" s="68" t="s">
        <v>1355</v>
      </c>
      <c r="R19" s="69">
        <v>1.45</v>
      </c>
      <c r="S19" s="69">
        <v>0</v>
      </c>
      <c r="T19" s="69">
        <v>0.84</v>
      </c>
      <c r="U19" s="69">
        <v>0.16</v>
      </c>
      <c r="V19" s="70">
        <v>0.84</v>
      </c>
    </row>
    <row r="20" spans="1:22" x14ac:dyDescent="0.25">
      <c r="A20">
        <v>38</v>
      </c>
      <c r="B20">
        <v>6</v>
      </c>
      <c r="C20">
        <v>57</v>
      </c>
      <c r="D20">
        <v>42</v>
      </c>
      <c r="E20">
        <v>66</v>
      </c>
      <c r="F20">
        <v>1.74</v>
      </c>
      <c r="G20">
        <v>1</v>
      </c>
      <c r="H20" t="s">
        <v>1366</v>
      </c>
      <c r="I20">
        <v>0</v>
      </c>
      <c r="J20">
        <v>0.80500000000000005</v>
      </c>
      <c r="K20">
        <v>0.80500000000000005</v>
      </c>
      <c r="L20">
        <v>0.19500000000000001</v>
      </c>
      <c r="M20" s="3">
        <v>3</v>
      </c>
      <c r="N20" s="3" t="s">
        <v>1075</v>
      </c>
    </row>
    <row r="21" spans="1:22" x14ac:dyDescent="0.25">
      <c r="A21">
        <v>38</v>
      </c>
      <c r="B21">
        <v>12</v>
      </c>
      <c r="C21">
        <v>58</v>
      </c>
      <c r="D21">
        <v>33</v>
      </c>
      <c r="E21">
        <v>69</v>
      </c>
      <c r="F21">
        <v>1.82</v>
      </c>
      <c r="G21">
        <v>0</v>
      </c>
      <c r="H21" t="s">
        <v>1367</v>
      </c>
      <c r="I21">
        <v>0</v>
      </c>
      <c r="J21">
        <v>0.64800000000000002</v>
      </c>
      <c r="K21">
        <v>0.64800000000000002</v>
      </c>
      <c r="L21">
        <v>0.35199999999999998</v>
      </c>
      <c r="M21">
        <v>7</v>
      </c>
      <c r="N21" t="s">
        <v>1344</v>
      </c>
    </row>
    <row r="22" spans="1:22" x14ac:dyDescent="0.25">
      <c r="A22">
        <v>38</v>
      </c>
      <c r="B22">
        <v>16</v>
      </c>
      <c r="C22">
        <v>54</v>
      </c>
      <c r="D22">
        <v>39</v>
      </c>
      <c r="E22">
        <v>58</v>
      </c>
      <c r="F22">
        <v>1.53</v>
      </c>
      <c r="G22">
        <v>1</v>
      </c>
      <c r="H22" t="s">
        <v>1366</v>
      </c>
      <c r="I22">
        <v>1</v>
      </c>
      <c r="J22">
        <v>0.94399999999999995</v>
      </c>
      <c r="K22">
        <v>5.6000000000000001E-2</v>
      </c>
      <c r="L22">
        <v>0.94399999999999995</v>
      </c>
      <c r="M22" s="3">
        <v>1</v>
      </c>
      <c r="N22" s="3" t="s">
        <v>1345</v>
      </c>
    </row>
    <row r="23" spans="1:22" x14ac:dyDescent="0.25">
      <c r="A23">
        <v>38</v>
      </c>
      <c r="B23">
        <v>8</v>
      </c>
      <c r="C23">
        <v>71</v>
      </c>
      <c r="D23">
        <v>27</v>
      </c>
      <c r="E23">
        <v>77</v>
      </c>
      <c r="F23">
        <v>2.0299999999999998</v>
      </c>
      <c r="G23">
        <v>0</v>
      </c>
      <c r="H23" t="s">
        <v>1366</v>
      </c>
      <c r="I23">
        <v>0</v>
      </c>
      <c r="J23">
        <v>0.97599999999999998</v>
      </c>
      <c r="K23">
        <v>0.97599999999999998</v>
      </c>
      <c r="L23">
        <v>2.4E-2</v>
      </c>
      <c r="M23" s="3">
        <v>5</v>
      </c>
      <c r="N23" s="3" t="s">
        <v>1346</v>
      </c>
    </row>
    <row r="24" spans="1:22" x14ac:dyDescent="0.25">
      <c r="A24">
        <v>38</v>
      </c>
      <c r="B24">
        <v>8</v>
      </c>
      <c r="C24">
        <v>71</v>
      </c>
      <c r="D24">
        <v>27</v>
      </c>
      <c r="E24">
        <v>77</v>
      </c>
      <c r="F24">
        <v>2.0299999999999998</v>
      </c>
      <c r="G24">
        <v>0</v>
      </c>
      <c r="H24" t="s">
        <v>1366</v>
      </c>
      <c r="I24">
        <v>0</v>
      </c>
      <c r="J24">
        <v>0.97599999999999998</v>
      </c>
      <c r="K24">
        <v>0.97599999999999998</v>
      </c>
      <c r="L24">
        <v>2.4E-2</v>
      </c>
      <c r="M24" s="3">
        <v>1</v>
      </c>
      <c r="N24" s="3" t="s">
        <v>1347</v>
      </c>
    </row>
    <row r="25" spans="1:22" x14ac:dyDescent="0.25">
      <c r="A25">
        <v>38</v>
      </c>
      <c r="B25">
        <v>9</v>
      </c>
      <c r="C25">
        <v>56</v>
      </c>
      <c r="D25">
        <v>35</v>
      </c>
      <c r="E25">
        <v>60</v>
      </c>
      <c r="F25">
        <v>1.58</v>
      </c>
      <c r="G25">
        <v>0</v>
      </c>
      <c r="H25" t="s">
        <v>1367</v>
      </c>
      <c r="I25">
        <v>0</v>
      </c>
      <c r="J25">
        <v>0.83299999999999996</v>
      </c>
      <c r="K25">
        <v>0.83299999999999996</v>
      </c>
      <c r="L25">
        <v>0.16700000000000001</v>
      </c>
      <c r="M25" s="3">
        <v>5</v>
      </c>
      <c r="N25" s="3" t="s">
        <v>1348</v>
      </c>
    </row>
    <row r="26" spans="1:22" x14ac:dyDescent="0.25">
      <c r="A26">
        <v>38</v>
      </c>
      <c r="B26">
        <v>12</v>
      </c>
      <c r="C26">
        <v>51</v>
      </c>
      <c r="D26">
        <v>27</v>
      </c>
      <c r="E26">
        <v>75</v>
      </c>
      <c r="F26">
        <v>1.97</v>
      </c>
      <c r="G26">
        <v>0</v>
      </c>
      <c r="H26" t="s">
        <v>1366</v>
      </c>
      <c r="I26">
        <v>0</v>
      </c>
      <c r="J26">
        <v>0.85599999999999998</v>
      </c>
      <c r="K26">
        <v>0.85599999999999998</v>
      </c>
      <c r="L26">
        <v>0.14399999999999999</v>
      </c>
      <c r="M26" s="3">
        <v>3</v>
      </c>
      <c r="N26" s="3" t="s">
        <v>1351</v>
      </c>
    </row>
    <row r="27" spans="1:22" x14ac:dyDescent="0.25">
      <c r="A27">
        <v>38</v>
      </c>
      <c r="B27">
        <v>12</v>
      </c>
      <c r="C27">
        <v>51</v>
      </c>
      <c r="D27">
        <v>27</v>
      </c>
      <c r="E27">
        <v>75</v>
      </c>
      <c r="F27">
        <v>1.97</v>
      </c>
      <c r="G27">
        <v>0</v>
      </c>
      <c r="H27" t="s">
        <v>1366</v>
      </c>
      <c r="I27">
        <v>0</v>
      </c>
      <c r="J27">
        <v>0.85599999999999998</v>
      </c>
      <c r="K27">
        <v>0.85599999999999998</v>
      </c>
      <c r="L27">
        <v>0.14399999999999999</v>
      </c>
      <c r="M27" s="3">
        <v>4</v>
      </c>
      <c r="N27" s="3" t="s">
        <v>1349</v>
      </c>
    </row>
    <row r="28" spans="1:22" x14ac:dyDescent="0.25">
      <c r="A28">
        <v>38</v>
      </c>
      <c r="B28">
        <v>9</v>
      </c>
      <c r="C28">
        <v>55</v>
      </c>
      <c r="D28">
        <v>34</v>
      </c>
      <c r="E28">
        <v>63</v>
      </c>
      <c r="F28">
        <v>1.66</v>
      </c>
      <c r="G28">
        <v>0</v>
      </c>
      <c r="H28" t="s">
        <v>1367</v>
      </c>
      <c r="I28">
        <v>0</v>
      </c>
      <c r="J28">
        <v>0.875</v>
      </c>
      <c r="K28">
        <v>0.875</v>
      </c>
      <c r="L28">
        <v>0.125</v>
      </c>
      <c r="M28">
        <v>9</v>
      </c>
      <c r="N28" t="s">
        <v>1350</v>
      </c>
    </row>
    <row r="29" spans="1:22" x14ac:dyDescent="0.25">
      <c r="A29">
        <v>38</v>
      </c>
      <c r="B29">
        <v>10</v>
      </c>
      <c r="C29">
        <v>59</v>
      </c>
      <c r="D29">
        <v>39</v>
      </c>
      <c r="E29">
        <v>64</v>
      </c>
      <c r="F29">
        <v>1.68</v>
      </c>
      <c r="G29">
        <v>1</v>
      </c>
      <c r="H29" t="s">
        <v>1366</v>
      </c>
      <c r="I29">
        <v>1</v>
      </c>
      <c r="J29">
        <v>0.61699999999999999</v>
      </c>
      <c r="K29">
        <v>0.38300000000000001</v>
      </c>
      <c r="L29">
        <v>0.61699999999999999</v>
      </c>
      <c r="M29">
        <v>10</v>
      </c>
      <c r="N29" t="s">
        <v>1352</v>
      </c>
    </row>
    <row r="30" spans="1:22" x14ac:dyDescent="0.25">
      <c r="A30">
        <v>38</v>
      </c>
      <c r="B30">
        <v>8</v>
      </c>
      <c r="C30">
        <v>63</v>
      </c>
      <c r="D30">
        <v>39</v>
      </c>
      <c r="E30">
        <v>65</v>
      </c>
      <c r="F30">
        <v>1.71</v>
      </c>
      <c r="G30">
        <v>0</v>
      </c>
      <c r="H30" t="s">
        <v>1366</v>
      </c>
      <c r="I30">
        <v>0</v>
      </c>
      <c r="J30">
        <v>0.66600000000000004</v>
      </c>
      <c r="K30">
        <v>0.66600000000000004</v>
      </c>
      <c r="L30">
        <v>0.33400000000000002</v>
      </c>
      <c r="M30" s="3">
        <v>2</v>
      </c>
      <c r="N30" s="3" t="s">
        <v>1353</v>
      </c>
    </row>
    <row r="31" spans="1:22" x14ac:dyDescent="0.25">
      <c r="A31">
        <v>38</v>
      </c>
      <c r="B31">
        <v>8</v>
      </c>
      <c r="C31">
        <v>63</v>
      </c>
      <c r="D31">
        <v>39</v>
      </c>
      <c r="E31">
        <v>65</v>
      </c>
      <c r="F31">
        <v>1.71</v>
      </c>
      <c r="G31">
        <v>0</v>
      </c>
      <c r="H31" t="s">
        <v>1366</v>
      </c>
      <c r="I31">
        <v>0</v>
      </c>
      <c r="J31">
        <v>0.66600000000000004</v>
      </c>
      <c r="K31">
        <v>0.66600000000000004</v>
      </c>
      <c r="L31">
        <v>0.33400000000000002</v>
      </c>
      <c r="M31">
        <v>10</v>
      </c>
      <c r="N31" t="s">
        <v>1354</v>
      </c>
    </row>
    <row r="32" spans="1:22" x14ac:dyDescent="0.25">
      <c r="A32">
        <v>38</v>
      </c>
      <c r="B32">
        <v>7</v>
      </c>
      <c r="C32">
        <v>58</v>
      </c>
      <c r="D32">
        <v>52</v>
      </c>
      <c r="E32">
        <v>55</v>
      </c>
      <c r="F32">
        <v>1.45</v>
      </c>
      <c r="G32">
        <v>0</v>
      </c>
      <c r="H32" t="s">
        <v>1367</v>
      </c>
      <c r="I32">
        <v>1</v>
      </c>
      <c r="J32">
        <v>0.84</v>
      </c>
      <c r="K32">
        <v>0.16</v>
      </c>
      <c r="L32">
        <v>0.84</v>
      </c>
      <c r="M32">
        <v>7</v>
      </c>
      <c r="N32" t="s">
        <v>1355</v>
      </c>
    </row>
    <row r="33" spans="1:14" x14ac:dyDescent="0.25">
      <c r="A33">
        <v>42</v>
      </c>
      <c r="B33">
        <v>11</v>
      </c>
      <c r="C33">
        <v>63</v>
      </c>
      <c r="D33">
        <v>59</v>
      </c>
      <c r="E33">
        <v>56</v>
      </c>
      <c r="F33">
        <v>1.33</v>
      </c>
      <c r="G33">
        <v>1</v>
      </c>
      <c r="H33" t="s">
        <v>1367</v>
      </c>
      <c r="I33">
        <v>1</v>
      </c>
      <c r="J33">
        <v>1</v>
      </c>
      <c r="K33">
        <v>0</v>
      </c>
      <c r="L33">
        <v>1</v>
      </c>
      <c r="M33" s="3">
        <v>4</v>
      </c>
      <c r="N33" s="3" t="s">
        <v>1356</v>
      </c>
    </row>
    <row r="34" spans="1:14" x14ac:dyDescent="0.25">
      <c r="A34">
        <v>42</v>
      </c>
      <c r="B34">
        <v>5</v>
      </c>
      <c r="C34">
        <v>77</v>
      </c>
      <c r="D34">
        <v>51</v>
      </c>
      <c r="E34">
        <v>83</v>
      </c>
      <c r="F34">
        <v>1.98</v>
      </c>
      <c r="G34">
        <v>1</v>
      </c>
      <c r="H34" t="s">
        <v>1366</v>
      </c>
      <c r="I34">
        <v>1</v>
      </c>
      <c r="J34">
        <v>1</v>
      </c>
      <c r="K34">
        <v>0</v>
      </c>
      <c r="L34">
        <v>1</v>
      </c>
      <c r="M34" s="3">
        <v>4</v>
      </c>
      <c r="N34" s="3" t="s">
        <v>1357</v>
      </c>
    </row>
    <row r="35" spans="1:14" x14ac:dyDescent="0.25">
      <c r="A35">
        <v>38</v>
      </c>
      <c r="B35">
        <v>12</v>
      </c>
      <c r="C35">
        <v>53</v>
      </c>
      <c r="D35">
        <v>48</v>
      </c>
      <c r="E35">
        <v>38</v>
      </c>
      <c r="F35">
        <v>1</v>
      </c>
      <c r="G35">
        <v>1</v>
      </c>
      <c r="H35" t="s">
        <v>1366</v>
      </c>
      <c r="I35">
        <v>1</v>
      </c>
      <c r="J35">
        <v>0.95599999999999996</v>
      </c>
      <c r="K35">
        <v>4.3999999999999997E-2</v>
      </c>
      <c r="L35">
        <v>0.95599999999999996</v>
      </c>
      <c r="M35">
        <v>7</v>
      </c>
      <c r="N35" t="s">
        <v>1358</v>
      </c>
    </row>
    <row r="36" spans="1:14" x14ac:dyDescent="0.25">
      <c r="A36">
        <v>38</v>
      </c>
      <c r="B36">
        <v>12</v>
      </c>
      <c r="C36">
        <v>55</v>
      </c>
      <c r="D36">
        <v>50</v>
      </c>
      <c r="E36">
        <v>40</v>
      </c>
      <c r="F36">
        <v>1.05</v>
      </c>
      <c r="G36">
        <v>1</v>
      </c>
      <c r="H36" t="s">
        <v>1367</v>
      </c>
      <c r="I36">
        <v>1</v>
      </c>
      <c r="J36">
        <v>0.98</v>
      </c>
      <c r="K36">
        <v>0.02</v>
      </c>
      <c r="L36">
        <v>0.98</v>
      </c>
      <c r="M36" s="3">
        <v>2</v>
      </c>
      <c r="N36" s="3" t="s">
        <v>1359</v>
      </c>
    </row>
    <row r="37" spans="1:14" x14ac:dyDescent="0.25">
      <c r="A37">
        <v>38</v>
      </c>
      <c r="B37">
        <v>10</v>
      </c>
      <c r="C37">
        <v>60</v>
      </c>
      <c r="D37">
        <v>33</v>
      </c>
      <c r="E37">
        <v>48</v>
      </c>
      <c r="F37">
        <v>1.26</v>
      </c>
      <c r="G37">
        <v>1</v>
      </c>
      <c r="H37" t="s">
        <v>1367</v>
      </c>
      <c r="I37">
        <v>0</v>
      </c>
      <c r="J37">
        <v>0.78500000000000003</v>
      </c>
      <c r="K37">
        <v>0.78500000000000003</v>
      </c>
      <c r="L37">
        <v>0.215</v>
      </c>
      <c r="M37" s="3">
        <v>3</v>
      </c>
      <c r="N37" s="3" t="s">
        <v>1360</v>
      </c>
    </row>
    <row r="38" spans="1:14" x14ac:dyDescent="0.25">
      <c r="A38">
        <v>38</v>
      </c>
      <c r="B38">
        <v>7</v>
      </c>
      <c r="C38">
        <v>63</v>
      </c>
      <c r="D38">
        <v>42</v>
      </c>
      <c r="E38">
        <v>47</v>
      </c>
      <c r="F38">
        <v>1.24</v>
      </c>
      <c r="G38">
        <v>0</v>
      </c>
      <c r="H38" t="s">
        <v>1366</v>
      </c>
      <c r="I38">
        <v>0</v>
      </c>
      <c r="J38">
        <v>0.71</v>
      </c>
      <c r="K38">
        <v>0.71</v>
      </c>
      <c r="L38">
        <v>0.28999999999999998</v>
      </c>
    </row>
    <row r="39" spans="1:14" x14ac:dyDescent="0.25">
      <c r="A39">
        <v>38</v>
      </c>
      <c r="B39">
        <v>7</v>
      </c>
      <c r="C39">
        <v>63</v>
      </c>
      <c r="D39">
        <v>42</v>
      </c>
      <c r="E39">
        <v>47</v>
      </c>
      <c r="F39">
        <v>1.24</v>
      </c>
      <c r="G39">
        <v>0</v>
      </c>
      <c r="H39" t="s">
        <v>1366</v>
      </c>
      <c r="I39">
        <v>0</v>
      </c>
      <c r="J39">
        <v>0.71</v>
      </c>
      <c r="K39">
        <v>0.71</v>
      </c>
      <c r="L39">
        <v>0.28999999999999998</v>
      </c>
    </row>
    <row r="40" spans="1:14" x14ac:dyDescent="0.25">
      <c r="A40">
        <v>38</v>
      </c>
      <c r="B40">
        <v>10</v>
      </c>
      <c r="C40">
        <v>44</v>
      </c>
      <c r="D40">
        <v>40</v>
      </c>
      <c r="E40">
        <v>40</v>
      </c>
      <c r="F40">
        <v>1.05</v>
      </c>
      <c r="G40">
        <v>0</v>
      </c>
      <c r="H40" t="s">
        <v>1366</v>
      </c>
      <c r="I40">
        <v>0</v>
      </c>
      <c r="J40">
        <v>0.53800000000000003</v>
      </c>
      <c r="K40">
        <v>0.53800000000000003</v>
      </c>
      <c r="L40">
        <v>0.46200000000000002</v>
      </c>
    </row>
    <row r="41" spans="1:14" x14ac:dyDescent="0.25">
      <c r="A41">
        <v>38</v>
      </c>
      <c r="B41">
        <v>10</v>
      </c>
      <c r="C41">
        <v>44</v>
      </c>
      <c r="D41">
        <v>40</v>
      </c>
      <c r="E41">
        <v>40</v>
      </c>
      <c r="F41">
        <v>1.05</v>
      </c>
      <c r="G41">
        <v>0</v>
      </c>
      <c r="H41" t="s">
        <v>1366</v>
      </c>
      <c r="I41">
        <v>0</v>
      </c>
      <c r="J41">
        <v>0.53800000000000003</v>
      </c>
      <c r="K41">
        <v>0.53800000000000003</v>
      </c>
      <c r="L41">
        <v>0.46200000000000002</v>
      </c>
    </row>
    <row r="42" spans="1:14" x14ac:dyDescent="0.25">
      <c r="A42">
        <v>38</v>
      </c>
      <c r="B42">
        <v>13</v>
      </c>
      <c r="C42">
        <v>67</v>
      </c>
      <c r="D42">
        <v>42</v>
      </c>
      <c r="E42">
        <v>53</v>
      </c>
      <c r="F42">
        <v>1.39</v>
      </c>
      <c r="G42">
        <v>0</v>
      </c>
      <c r="H42" t="s">
        <v>1367</v>
      </c>
      <c r="I42">
        <v>1</v>
      </c>
      <c r="J42">
        <v>0.95399999999999996</v>
      </c>
      <c r="K42">
        <v>4.5999999999999999E-2</v>
      </c>
      <c r="L42">
        <v>0.95399999999999996</v>
      </c>
    </row>
    <row r="43" spans="1:14" x14ac:dyDescent="0.25">
      <c r="A43">
        <v>38</v>
      </c>
      <c r="B43">
        <v>13</v>
      </c>
      <c r="C43">
        <v>39</v>
      </c>
      <c r="D43">
        <v>26</v>
      </c>
      <c r="E43">
        <v>49</v>
      </c>
      <c r="F43">
        <v>1.29</v>
      </c>
      <c r="G43">
        <v>0</v>
      </c>
      <c r="H43" t="s">
        <v>1367</v>
      </c>
      <c r="I43">
        <v>0</v>
      </c>
      <c r="J43">
        <v>0.92500000000000004</v>
      </c>
      <c r="K43">
        <v>0.92500000000000004</v>
      </c>
      <c r="L43">
        <v>7.4999999999999997E-2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C47A-B057-4C8C-98A9-FD21DB564B49}">
  <dimension ref="A1:V478"/>
  <sheetViews>
    <sheetView topLeftCell="A393" workbookViewId="0">
      <selection activeCell="B274" sqref="B274"/>
    </sheetView>
  </sheetViews>
  <sheetFormatPr defaultRowHeight="15" x14ac:dyDescent="0.25"/>
  <cols>
    <col min="2" max="2" width="19.7109375" customWidth="1"/>
    <col min="17" max="17" width="12.85546875" customWidth="1"/>
    <col min="18" max="18" width="18.7109375" customWidth="1"/>
  </cols>
  <sheetData>
    <row r="1" spans="1:20" s="36" customFormat="1" x14ac:dyDescent="0.25">
      <c r="A1" s="36" t="s">
        <v>640</v>
      </c>
    </row>
    <row r="2" spans="1:20" x14ac:dyDescent="0.25">
      <c r="A2" t="s">
        <v>641</v>
      </c>
      <c r="B2" t="s">
        <v>15</v>
      </c>
      <c r="C2" t="s">
        <v>17</v>
      </c>
      <c r="D2" t="s">
        <v>18</v>
      </c>
      <c r="E2" t="s">
        <v>4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578</v>
      </c>
      <c r="L2" t="s">
        <v>55</v>
      </c>
      <c r="M2" t="s">
        <v>56</v>
      </c>
      <c r="N2" t="s">
        <v>579</v>
      </c>
      <c r="O2" t="s">
        <v>580</v>
      </c>
      <c r="P2" t="s">
        <v>642</v>
      </c>
      <c r="Q2" t="s">
        <v>24</v>
      </c>
      <c r="R2" t="s">
        <v>25</v>
      </c>
      <c r="S2" t="s">
        <v>26</v>
      </c>
      <c r="T2" t="s">
        <v>27</v>
      </c>
    </row>
    <row r="3" spans="1:20" x14ac:dyDescent="0.25">
      <c r="A3">
        <v>1</v>
      </c>
      <c r="B3" t="s">
        <v>693</v>
      </c>
      <c r="C3">
        <v>14</v>
      </c>
      <c r="D3">
        <v>11</v>
      </c>
      <c r="E3">
        <v>1</v>
      </c>
      <c r="F3">
        <v>2</v>
      </c>
      <c r="G3">
        <v>42</v>
      </c>
      <c r="H3">
        <v>14</v>
      </c>
      <c r="I3">
        <v>28</v>
      </c>
      <c r="J3">
        <v>34</v>
      </c>
      <c r="K3">
        <v>2.4300000000000002</v>
      </c>
      <c r="L3">
        <v>33</v>
      </c>
      <c r="M3">
        <v>17.8</v>
      </c>
      <c r="N3">
        <v>15.3</v>
      </c>
      <c r="O3">
        <v>1.0900000000000001</v>
      </c>
      <c r="P3" t="s">
        <v>643</v>
      </c>
      <c r="Q3" s="2">
        <v>46381</v>
      </c>
      <c r="R3" t="s">
        <v>644</v>
      </c>
      <c r="S3" t="s">
        <v>645</v>
      </c>
    </row>
    <row r="4" spans="1:20" x14ac:dyDescent="0.25">
      <c r="A4">
        <v>2</v>
      </c>
      <c r="B4" t="s">
        <v>694</v>
      </c>
      <c r="C4">
        <v>13</v>
      </c>
      <c r="D4">
        <v>9</v>
      </c>
      <c r="E4">
        <v>3</v>
      </c>
      <c r="F4">
        <v>1</v>
      </c>
      <c r="G4">
        <v>28</v>
      </c>
      <c r="H4">
        <v>11</v>
      </c>
      <c r="I4">
        <v>17</v>
      </c>
      <c r="J4">
        <v>30</v>
      </c>
      <c r="K4">
        <v>2.31</v>
      </c>
      <c r="L4">
        <v>23.9</v>
      </c>
      <c r="M4">
        <v>12</v>
      </c>
      <c r="N4">
        <v>12</v>
      </c>
      <c r="O4">
        <v>0.92</v>
      </c>
      <c r="P4" t="s">
        <v>646</v>
      </c>
      <c r="Q4" s="2">
        <v>64644</v>
      </c>
      <c r="R4" t="s">
        <v>647</v>
      </c>
      <c r="S4" t="s">
        <v>584</v>
      </c>
    </row>
    <row r="5" spans="1:20" x14ac:dyDescent="0.25">
      <c r="A5">
        <v>3</v>
      </c>
      <c r="B5" t="s">
        <v>695</v>
      </c>
      <c r="C5">
        <v>14</v>
      </c>
      <c r="D5">
        <v>8</v>
      </c>
      <c r="E5">
        <v>5</v>
      </c>
      <c r="F5">
        <v>1</v>
      </c>
      <c r="G5">
        <v>21</v>
      </c>
      <c r="H5">
        <v>8</v>
      </c>
      <c r="I5">
        <v>13</v>
      </c>
      <c r="J5">
        <v>29</v>
      </c>
      <c r="K5">
        <v>2.0699999999999998</v>
      </c>
      <c r="L5">
        <v>21.2</v>
      </c>
      <c r="M5">
        <v>11.2</v>
      </c>
      <c r="N5">
        <v>10</v>
      </c>
      <c r="O5">
        <v>0.71</v>
      </c>
      <c r="P5" t="s">
        <v>648</v>
      </c>
      <c r="Q5" s="2">
        <v>60656</v>
      </c>
      <c r="R5" t="s">
        <v>649</v>
      </c>
      <c r="S5" t="s">
        <v>586</v>
      </c>
    </row>
    <row r="6" spans="1:20" x14ac:dyDescent="0.25">
      <c r="A6">
        <v>4</v>
      </c>
      <c r="B6" t="s">
        <v>696</v>
      </c>
      <c r="C6">
        <v>13</v>
      </c>
      <c r="D6">
        <v>7</v>
      </c>
      <c r="E6">
        <v>4</v>
      </c>
      <c r="F6">
        <v>2</v>
      </c>
      <c r="G6">
        <v>25</v>
      </c>
      <c r="H6">
        <v>21</v>
      </c>
      <c r="I6">
        <v>4</v>
      </c>
      <c r="J6">
        <v>25</v>
      </c>
      <c r="K6">
        <v>1.92</v>
      </c>
      <c r="L6">
        <v>22</v>
      </c>
      <c r="M6">
        <v>16.3</v>
      </c>
      <c r="N6">
        <v>5.7</v>
      </c>
      <c r="O6">
        <v>0.44</v>
      </c>
      <c r="P6" t="s">
        <v>650</v>
      </c>
      <c r="Q6" s="2">
        <v>19740</v>
      </c>
      <c r="R6" t="s">
        <v>651</v>
      </c>
      <c r="S6" t="s">
        <v>652</v>
      </c>
    </row>
    <row r="7" spans="1:20" x14ac:dyDescent="0.25">
      <c r="A7">
        <v>5</v>
      </c>
      <c r="B7" t="s">
        <v>697</v>
      </c>
      <c r="C7">
        <v>15</v>
      </c>
      <c r="D7">
        <v>7</v>
      </c>
      <c r="E7">
        <v>3</v>
      </c>
      <c r="F7">
        <v>5</v>
      </c>
      <c r="G7">
        <v>15</v>
      </c>
      <c r="H7">
        <v>13</v>
      </c>
      <c r="I7">
        <v>2</v>
      </c>
      <c r="J7">
        <v>24</v>
      </c>
      <c r="K7">
        <v>1.6</v>
      </c>
      <c r="L7">
        <v>16.100000000000001</v>
      </c>
      <c r="M7">
        <v>13.1</v>
      </c>
      <c r="N7">
        <v>2.9</v>
      </c>
      <c r="O7">
        <v>0.19</v>
      </c>
      <c r="P7" t="s">
        <v>653</v>
      </c>
      <c r="Q7" s="2">
        <v>19281</v>
      </c>
      <c r="R7" t="s">
        <v>654</v>
      </c>
      <c r="S7" t="s">
        <v>655</v>
      </c>
    </row>
    <row r="8" spans="1:20" x14ac:dyDescent="0.25">
      <c r="A8">
        <v>6</v>
      </c>
      <c r="B8" t="s">
        <v>698</v>
      </c>
      <c r="C8">
        <v>14</v>
      </c>
      <c r="D8">
        <v>6</v>
      </c>
      <c r="E8">
        <v>5</v>
      </c>
      <c r="F8">
        <v>3</v>
      </c>
      <c r="G8">
        <v>20</v>
      </c>
      <c r="H8">
        <v>13</v>
      </c>
      <c r="I8">
        <v>7</v>
      </c>
      <c r="J8">
        <v>23</v>
      </c>
      <c r="K8">
        <v>1.64</v>
      </c>
      <c r="L8">
        <v>20.2</v>
      </c>
      <c r="M8">
        <v>13.9</v>
      </c>
      <c r="N8">
        <v>6.3</v>
      </c>
      <c r="O8">
        <v>0.45</v>
      </c>
      <c r="P8" t="s">
        <v>656</v>
      </c>
      <c r="Q8" s="2">
        <v>48308</v>
      </c>
      <c r="R8" t="s">
        <v>657</v>
      </c>
      <c r="S8" t="s">
        <v>658</v>
      </c>
    </row>
    <row r="9" spans="1:20" x14ac:dyDescent="0.25">
      <c r="A9">
        <v>7</v>
      </c>
      <c r="B9" t="s">
        <v>699</v>
      </c>
      <c r="C9">
        <v>14</v>
      </c>
      <c r="D9">
        <v>6</v>
      </c>
      <c r="E9">
        <v>4</v>
      </c>
      <c r="F9">
        <v>4</v>
      </c>
      <c r="G9">
        <v>19</v>
      </c>
      <c r="H9">
        <v>22</v>
      </c>
      <c r="I9">
        <v>-3</v>
      </c>
      <c r="J9">
        <v>22</v>
      </c>
      <c r="K9">
        <v>1.57</v>
      </c>
      <c r="L9">
        <v>14.8</v>
      </c>
      <c r="M9">
        <v>20</v>
      </c>
      <c r="N9">
        <v>-5.2</v>
      </c>
      <c r="O9">
        <v>-0.37</v>
      </c>
      <c r="P9" t="s">
        <v>659</v>
      </c>
      <c r="Q9" s="2">
        <v>20251</v>
      </c>
      <c r="R9" t="s">
        <v>660</v>
      </c>
      <c r="S9" t="s">
        <v>661</v>
      </c>
    </row>
    <row r="10" spans="1:20" x14ac:dyDescent="0.25">
      <c r="A10">
        <v>8</v>
      </c>
      <c r="B10" t="s">
        <v>700</v>
      </c>
      <c r="C10">
        <v>14</v>
      </c>
      <c r="D10">
        <v>6</v>
      </c>
      <c r="E10">
        <v>3</v>
      </c>
      <c r="F10">
        <v>5</v>
      </c>
      <c r="G10">
        <v>20</v>
      </c>
      <c r="H10">
        <v>18</v>
      </c>
      <c r="I10">
        <v>2</v>
      </c>
      <c r="J10">
        <v>21</v>
      </c>
      <c r="K10">
        <v>1.5</v>
      </c>
      <c r="L10">
        <v>19.5</v>
      </c>
      <c r="M10">
        <v>14</v>
      </c>
      <c r="N10">
        <v>5.5</v>
      </c>
      <c r="O10">
        <v>0.39</v>
      </c>
      <c r="P10" t="s">
        <v>662</v>
      </c>
      <c r="Q10" s="2">
        <v>12677</v>
      </c>
      <c r="R10" t="s">
        <v>663</v>
      </c>
      <c r="S10" t="s">
        <v>601</v>
      </c>
    </row>
    <row r="11" spans="1:20" x14ac:dyDescent="0.25">
      <c r="A11">
        <v>9</v>
      </c>
      <c r="B11" t="s">
        <v>701</v>
      </c>
      <c r="C11">
        <v>14</v>
      </c>
      <c r="D11">
        <v>5</v>
      </c>
      <c r="E11">
        <v>5</v>
      </c>
      <c r="F11">
        <v>4</v>
      </c>
      <c r="G11">
        <v>16</v>
      </c>
      <c r="H11">
        <v>16</v>
      </c>
      <c r="I11">
        <v>0</v>
      </c>
      <c r="J11">
        <v>20</v>
      </c>
      <c r="K11">
        <v>1.43</v>
      </c>
      <c r="L11">
        <v>21.6</v>
      </c>
      <c r="M11">
        <v>18.2</v>
      </c>
      <c r="N11">
        <v>3.4</v>
      </c>
      <c r="O11">
        <v>0.24</v>
      </c>
      <c r="P11" t="s">
        <v>664</v>
      </c>
      <c r="Q11" s="2">
        <v>51063</v>
      </c>
      <c r="R11" t="s">
        <v>665</v>
      </c>
      <c r="S11" t="s">
        <v>592</v>
      </c>
    </row>
    <row r="12" spans="1:20" s="55" customFormat="1" x14ac:dyDescent="0.25">
      <c r="A12" s="55">
        <v>10</v>
      </c>
      <c r="B12" s="55" t="s">
        <v>702</v>
      </c>
      <c r="C12" s="55">
        <v>14</v>
      </c>
      <c r="D12" s="55">
        <v>5</v>
      </c>
      <c r="E12" s="55">
        <v>3</v>
      </c>
      <c r="F12" s="55">
        <v>6</v>
      </c>
      <c r="G12" s="55">
        <v>11</v>
      </c>
      <c r="H12" s="55">
        <v>11</v>
      </c>
      <c r="I12" s="55">
        <v>0</v>
      </c>
      <c r="J12" s="55">
        <v>18</v>
      </c>
      <c r="K12" s="55">
        <v>1.29</v>
      </c>
      <c r="L12" s="55">
        <v>17.5</v>
      </c>
      <c r="M12" s="55">
        <v>15</v>
      </c>
      <c r="N12" s="55">
        <v>2.5</v>
      </c>
      <c r="O12" s="55">
        <v>0.18</v>
      </c>
      <c r="P12" s="55" t="s">
        <v>666</v>
      </c>
      <c r="Q12" s="56">
        <v>33370</v>
      </c>
      <c r="R12" s="55" t="s">
        <v>667</v>
      </c>
      <c r="S12" s="55" t="s">
        <v>588</v>
      </c>
    </row>
    <row r="13" spans="1:20" x14ac:dyDescent="0.25">
      <c r="A13">
        <v>11</v>
      </c>
      <c r="B13" t="s">
        <v>703</v>
      </c>
      <c r="C13">
        <v>14</v>
      </c>
      <c r="D13">
        <v>5</v>
      </c>
      <c r="E13">
        <v>3</v>
      </c>
      <c r="F13">
        <v>6</v>
      </c>
      <c r="G13">
        <v>22</v>
      </c>
      <c r="H13">
        <v>24</v>
      </c>
      <c r="I13">
        <v>-2</v>
      </c>
      <c r="J13">
        <v>18</v>
      </c>
      <c r="K13">
        <v>1.29</v>
      </c>
      <c r="L13">
        <v>20.7</v>
      </c>
      <c r="M13">
        <v>17.100000000000001</v>
      </c>
      <c r="N13">
        <v>3.6</v>
      </c>
      <c r="O13">
        <v>0.26</v>
      </c>
      <c r="P13" t="s">
        <v>668</v>
      </c>
      <c r="Q13" s="2">
        <v>22383</v>
      </c>
      <c r="R13" t="s">
        <v>669</v>
      </c>
      <c r="S13" t="s">
        <v>41</v>
      </c>
    </row>
    <row r="14" spans="1:20" x14ac:dyDescent="0.25">
      <c r="A14">
        <v>12</v>
      </c>
      <c r="B14" t="s">
        <v>704</v>
      </c>
      <c r="C14">
        <v>14</v>
      </c>
      <c r="D14">
        <v>5</v>
      </c>
      <c r="E14">
        <v>3</v>
      </c>
      <c r="F14">
        <v>6</v>
      </c>
      <c r="G14">
        <v>13</v>
      </c>
      <c r="H14">
        <v>18</v>
      </c>
      <c r="I14">
        <v>-5</v>
      </c>
      <c r="J14">
        <v>18</v>
      </c>
      <c r="K14">
        <v>1.29</v>
      </c>
      <c r="L14">
        <v>15.6</v>
      </c>
      <c r="M14">
        <v>18.7</v>
      </c>
      <c r="N14">
        <v>-3.1</v>
      </c>
      <c r="O14">
        <v>-0.22</v>
      </c>
      <c r="P14" t="s">
        <v>670</v>
      </c>
      <c r="Q14" s="2">
        <v>36141</v>
      </c>
      <c r="R14" t="s">
        <v>671</v>
      </c>
      <c r="S14" t="s">
        <v>672</v>
      </c>
    </row>
    <row r="15" spans="1:20" x14ac:dyDescent="0.25">
      <c r="A15">
        <v>13</v>
      </c>
      <c r="B15" t="s">
        <v>705</v>
      </c>
      <c r="C15">
        <v>13</v>
      </c>
      <c r="D15">
        <v>4</v>
      </c>
      <c r="E15">
        <v>4</v>
      </c>
      <c r="F15">
        <v>5</v>
      </c>
      <c r="G15">
        <v>13</v>
      </c>
      <c r="H15">
        <v>14</v>
      </c>
      <c r="I15">
        <v>-1</v>
      </c>
      <c r="J15">
        <v>16</v>
      </c>
      <c r="K15">
        <v>1.23</v>
      </c>
      <c r="L15">
        <v>14.9</v>
      </c>
      <c r="M15">
        <v>15.4</v>
      </c>
      <c r="N15">
        <v>-0.5</v>
      </c>
      <c r="O15">
        <v>-0.04</v>
      </c>
      <c r="P15" t="s">
        <v>673</v>
      </c>
      <c r="Q15" s="2">
        <v>13321</v>
      </c>
      <c r="R15" t="s">
        <v>674</v>
      </c>
      <c r="S15" t="s">
        <v>675</v>
      </c>
    </row>
    <row r="16" spans="1:20" x14ac:dyDescent="0.25">
      <c r="A16">
        <v>14</v>
      </c>
      <c r="B16" t="s">
        <v>706</v>
      </c>
      <c r="C16">
        <v>14</v>
      </c>
      <c r="D16">
        <v>3</v>
      </c>
      <c r="E16">
        <v>5</v>
      </c>
      <c r="F16">
        <v>6</v>
      </c>
      <c r="G16">
        <v>13</v>
      </c>
      <c r="H16">
        <v>19</v>
      </c>
      <c r="I16">
        <v>-6</v>
      </c>
      <c r="J16">
        <v>14</v>
      </c>
      <c r="K16">
        <v>1</v>
      </c>
      <c r="L16">
        <v>9.6999999999999993</v>
      </c>
      <c r="M16">
        <v>20.8</v>
      </c>
      <c r="N16">
        <v>-11.1</v>
      </c>
      <c r="O16">
        <v>-0.79</v>
      </c>
      <c r="P16" t="s">
        <v>676</v>
      </c>
      <c r="Q16" s="2">
        <v>10666</v>
      </c>
      <c r="R16" t="s">
        <v>677</v>
      </c>
      <c r="S16" t="s">
        <v>678</v>
      </c>
    </row>
    <row r="17" spans="1:19" x14ac:dyDescent="0.25">
      <c r="A17">
        <v>15</v>
      </c>
      <c r="B17" t="s">
        <v>707</v>
      </c>
      <c r="C17">
        <v>14</v>
      </c>
      <c r="D17">
        <v>2</v>
      </c>
      <c r="E17">
        <v>7</v>
      </c>
      <c r="F17">
        <v>5</v>
      </c>
      <c r="G17">
        <v>10</v>
      </c>
      <c r="H17">
        <v>11</v>
      </c>
      <c r="I17">
        <v>-1</v>
      </c>
      <c r="J17">
        <v>13</v>
      </c>
      <c r="K17">
        <v>0.93</v>
      </c>
      <c r="L17">
        <v>14.5</v>
      </c>
      <c r="M17">
        <v>12.7</v>
      </c>
      <c r="N17">
        <v>1.8</v>
      </c>
      <c r="O17">
        <v>0.13</v>
      </c>
      <c r="P17" t="s">
        <v>679</v>
      </c>
      <c r="Q17" s="2">
        <v>10940</v>
      </c>
      <c r="R17" t="s">
        <v>680</v>
      </c>
      <c r="S17" t="s">
        <v>611</v>
      </c>
    </row>
    <row r="18" spans="1:19" x14ac:dyDescent="0.25">
      <c r="A18">
        <v>16</v>
      </c>
      <c r="B18" t="s">
        <v>708</v>
      </c>
      <c r="C18">
        <v>14</v>
      </c>
      <c r="D18">
        <v>4</v>
      </c>
      <c r="E18">
        <v>1</v>
      </c>
      <c r="F18">
        <v>9</v>
      </c>
      <c r="G18">
        <v>15</v>
      </c>
      <c r="H18">
        <v>24</v>
      </c>
      <c r="I18">
        <v>-9</v>
      </c>
      <c r="J18">
        <v>13</v>
      </c>
      <c r="K18">
        <v>0.93</v>
      </c>
      <c r="L18">
        <v>14.4</v>
      </c>
      <c r="M18">
        <v>20.100000000000001</v>
      </c>
      <c r="N18">
        <v>-5.7</v>
      </c>
      <c r="O18">
        <v>-0.4</v>
      </c>
      <c r="P18" t="s">
        <v>681</v>
      </c>
      <c r="Q18" s="2">
        <v>17189</v>
      </c>
      <c r="R18" t="s">
        <v>682</v>
      </c>
      <c r="S18" t="s">
        <v>683</v>
      </c>
    </row>
    <row r="19" spans="1:19" x14ac:dyDescent="0.25">
      <c r="A19">
        <v>17</v>
      </c>
      <c r="B19" t="s">
        <v>709</v>
      </c>
      <c r="C19">
        <v>14</v>
      </c>
      <c r="D19">
        <v>3</v>
      </c>
      <c r="E19">
        <v>3</v>
      </c>
      <c r="F19">
        <v>8</v>
      </c>
      <c r="G19">
        <v>18</v>
      </c>
      <c r="H19">
        <v>25</v>
      </c>
      <c r="I19">
        <v>-7</v>
      </c>
      <c r="J19">
        <v>12</v>
      </c>
      <c r="K19">
        <v>0.86</v>
      </c>
      <c r="L19">
        <v>13.6</v>
      </c>
      <c r="M19">
        <v>25</v>
      </c>
      <c r="N19">
        <v>-11.4</v>
      </c>
      <c r="O19">
        <v>-0.81</v>
      </c>
      <c r="P19" t="s">
        <v>684</v>
      </c>
      <c r="Q19" s="2">
        <v>24370</v>
      </c>
      <c r="R19" t="s">
        <v>685</v>
      </c>
      <c r="S19" t="s">
        <v>33</v>
      </c>
    </row>
    <row r="20" spans="1:19" s="53" customFormat="1" x14ac:dyDescent="0.25">
      <c r="A20" s="53">
        <v>18</v>
      </c>
      <c r="B20" s="53" t="s">
        <v>710</v>
      </c>
      <c r="C20" s="53">
        <v>13</v>
      </c>
      <c r="D20" s="53">
        <v>2</v>
      </c>
      <c r="E20" s="53">
        <v>4</v>
      </c>
      <c r="F20" s="53">
        <v>7</v>
      </c>
      <c r="G20" s="53">
        <v>13</v>
      </c>
      <c r="H20" s="53">
        <v>21</v>
      </c>
      <c r="I20" s="53">
        <v>-8</v>
      </c>
      <c r="J20" s="53">
        <v>10</v>
      </c>
      <c r="K20" s="53">
        <v>0.77</v>
      </c>
      <c r="L20" s="53">
        <v>10.8</v>
      </c>
      <c r="M20" s="53">
        <v>19.899999999999999</v>
      </c>
      <c r="N20" s="53">
        <v>-9.1</v>
      </c>
      <c r="O20" s="53">
        <v>-0.7</v>
      </c>
      <c r="P20" s="53" t="s">
        <v>686</v>
      </c>
      <c r="Q20" s="54">
        <v>43047</v>
      </c>
      <c r="R20" s="53" t="s">
        <v>687</v>
      </c>
      <c r="S20" s="53" t="s">
        <v>28</v>
      </c>
    </row>
    <row r="21" spans="1:19" x14ac:dyDescent="0.25">
      <c r="A21">
        <v>19</v>
      </c>
      <c r="B21" t="s">
        <v>711</v>
      </c>
      <c r="C21">
        <v>13</v>
      </c>
      <c r="D21">
        <v>3</v>
      </c>
      <c r="E21">
        <v>1</v>
      </c>
      <c r="F21">
        <v>9</v>
      </c>
      <c r="G21">
        <v>12</v>
      </c>
      <c r="H21">
        <v>26</v>
      </c>
      <c r="I21">
        <v>-14</v>
      </c>
      <c r="J21">
        <v>10</v>
      </c>
      <c r="K21">
        <v>0.77</v>
      </c>
      <c r="L21">
        <v>10.9</v>
      </c>
      <c r="M21">
        <v>24.1</v>
      </c>
      <c r="N21">
        <v>-13.2</v>
      </c>
      <c r="O21">
        <v>-1.01</v>
      </c>
      <c r="P21" t="s">
        <v>688</v>
      </c>
      <c r="Q21" s="2">
        <v>23130</v>
      </c>
      <c r="R21" t="s">
        <v>689</v>
      </c>
      <c r="S21" t="s">
        <v>690</v>
      </c>
    </row>
    <row r="22" spans="1:19" x14ac:dyDescent="0.25">
      <c r="A22">
        <v>20</v>
      </c>
      <c r="B22" t="s">
        <v>712</v>
      </c>
      <c r="C22">
        <v>14</v>
      </c>
      <c r="D22">
        <v>2</v>
      </c>
      <c r="E22">
        <v>3</v>
      </c>
      <c r="F22">
        <v>9</v>
      </c>
      <c r="G22">
        <v>10</v>
      </c>
      <c r="H22">
        <v>27</v>
      </c>
      <c r="I22">
        <v>-17</v>
      </c>
      <c r="J22">
        <v>9</v>
      </c>
      <c r="K22">
        <v>0.64</v>
      </c>
      <c r="L22">
        <v>13.4</v>
      </c>
      <c r="M22">
        <v>23.2</v>
      </c>
      <c r="N22">
        <v>-9.8000000000000007</v>
      </c>
      <c r="O22">
        <v>-0.7</v>
      </c>
      <c r="P22" t="s">
        <v>691</v>
      </c>
      <c r="Q22" s="2">
        <v>21451</v>
      </c>
      <c r="R22" t="s">
        <v>692</v>
      </c>
    </row>
    <row r="24" spans="1:19" s="36" customFormat="1" x14ac:dyDescent="0.25">
      <c r="A24" s="36" t="s">
        <v>638</v>
      </c>
    </row>
    <row r="25" spans="1:19" x14ac:dyDescent="0.25">
      <c r="A25" t="s">
        <v>641</v>
      </c>
      <c r="B25" t="s">
        <v>15</v>
      </c>
      <c r="C25" t="s">
        <v>17</v>
      </c>
      <c r="D25" t="s">
        <v>18</v>
      </c>
      <c r="E25" t="s">
        <v>4</v>
      </c>
      <c r="F25" t="s">
        <v>19</v>
      </c>
      <c r="G25" t="s">
        <v>20</v>
      </c>
      <c r="H25" t="s">
        <v>21</v>
      </c>
      <c r="I25" t="s">
        <v>22</v>
      </c>
      <c r="J25" t="s">
        <v>23</v>
      </c>
      <c r="K25" t="s">
        <v>578</v>
      </c>
      <c r="L25" t="s">
        <v>55</v>
      </c>
      <c r="M25" t="s">
        <v>56</v>
      </c>
      <c r="N25" t="s">
        <v>579</v>
      </c>
      <c r="O25" t="s">
        <v>580</v>
      </c>
      <c r="P25" t="s">
        <v>24</v>
      </c>
      <c r="Q25" t="s">
        <v>25</v>
      </c>
      <c r="R25" t="s">
        <v>26</v>
      </c>
      <c r="S25" t="s">
        <v>27</v>
      </c>
    </row>
    <row r="26" spans="1:19" x14ac:dyDescent="0.25">
      <c r="A26">
        <v>1</v>
      </c>
      <c r="B26" t="s">
        <v>738</v>
      </c>
      <c r="C26">
        <v>38</v>
      </c>
      <c r="D26">
        <v>29</v>
      </c>
      <c r="E26">
        <v>8</v>
      </c>
      <c r="F26">
        <v>1</v>
      </c>
      <c r="G26">
        <v>87</v>
      </c>
      <c r="H26">
        <v>26</v>
      </c>
      <c r="I26">
        <v>61</v>
      </c>
      <c r="J26">
        <v>95</v>
      </c>
      <c r="K26">
        <v>2.5</v>
      </c>
      <c r="L26">
        <v>68.8</v>
      </c>
      <c r="M26">
        <v>35.4</v>
      </c>
      <c r="N26">
        <v>33.4</v>
      </c>
      <c r="O26">
        <v>0.88</v>
      </c>
      <c r="P26" s="2">
        <v>72061</v>
      </c>
      <c r="Q26" t="s">
        <v>713</v>
      </c>
      <c r="R26" t="s">
        <v>714</v>
      </c>
      <c r="S26" t="s">
        <v>36</v>
      </c>
    </row>
    <row r="27" spans="1:19" x14ac:dyDescent="0.25">
      <c r="A27">
        <v>2</v>
      </c>
      <c r="B27" t="s">
        <v>693</v>
      </c>
      <c r="C27">
        <v>38</v>
      </c>
      <c r="D27">
        <v>26</v>
      </c>
      <c r="E27">
        <v>7</v>
      </c>
      <c r="F27">
        <v>5</v>
      </c>
      <c r="G27">
        <v>79</v>
      </c>
      <c r="H27">
        <v>44</v>
      </c>
      <c r="I27">
        <v>35</v>
      </c>
      <c r="J27">
        <v>85</v>
      </c>
      <c r="K27">
        <v>2.2400000000000002</v>
      </c>
      <c r="L27">
        <v>77.599999999999994</v>
      </c>
      <c r="M27">
        <v>41.6</v>
      </c>
      <c r="N27">
        <v>35.9</v>
      </c>
      <c r="O27">
        <v>0.94</v>
      </c>
      <c r="P27" s="2">
        <v>39846</v>
      </c>
      <c r="Q27" t="s">
        <v>715</v>
      </c>
      <c r="R27" t="s">
        <v>582</v>
      </c>
      <c r="S27" t="s">
        <v>36</v>
      </c>
    </row>
    <row r="28" spans="1:19" x14ac:dyDescent="0.25">
      <c r="A28">
        <v>3</v>
      </c>
      <c r="B28" t="s">
        <v>627</v>
      </c>
      <c r="C28">
        <v>38</v>
      </c>
      <c r="D28">
        <v>25</v>
      </c>
      <c r="E28">
        <v>6</v>
      </c>
      <c r="F28">
        <v>7</v>
      </c>
      <c r="G28">
        <v>85</v>
      </c>
      <c r="H28">
        <v>46</v>
      </c>
      <c r="I28">
        <v>39</v>
      </c>
      <c r="J28">
        <v>81</v>
      </c>
      <c r="K28">
        <v>2.13</v>
      </c>
      <c r="L28">
        <v>70.8</v>
      </c>
      <c r="M28">
        <v>54.3</v>
      </c>
      <c r="N28">
        <v>16.5</v>
      </c>
      <c r="O28">
        <v>0.43</v>
      </c>
      <c r="P28" s="2">
        <v>12520</v>
      </c>
      <c r="Q28" t="s">
        <v>716</v>
      </c>
      <c r="R28" t="s">
        <v>601</v>
      </c>
      <c r="S28" t="s">
        <v>36</v>
      </c>
    </row>
    <row r="29" spans="1:19" x14ac:dyDescent="0.25">
      <c r="A29">
        <v>4</v>
      </c>
      <c r="B29" t="s">
        <v>739</v>
      </c>
      <c r="C29">
        <v>38</v>
      </c>
      <c r="D29">
        <v>24</v>
      </c>
      <c r="E29">
        <v>4</v>
      </c>
      <c r="F29">
        <v>10</v>
      </c>
      <c r="G29">
        <v>70</v>
      </c>
      <c r="H29">
        <v>43</v>
      </c>
      <c r="I29">
        <v>27</v>
      </c>
      <c r="J29">
        <v>76</v>
      </c>
      <c r="K29">
        <v>2</v>
      </c>
      <c r="L29">
        <v>62.4</v>
      </c>
      <c r="M29">
        <v>39.5</v>
      </c>
      <c r="N29">
        <v>23</v>
      </c>
      <c r="O29">
        <v>0.6</v>
      </c>
      <c r="P29" s="2">
        <v>59121</v>
      </c>
      <c r="Q29" t="s">
        <v>717</v>
      </c>
      <c r="R29" t="s">
        <v>586</v>
      </c>
      <c r="S29" t="s">
        <v>36</v>
      </c>
    </row>
    <row r="30" spans="1:19" x14ac:dyDescent="0.25">
      <c r="A30">
        <v>5</v>
      </c>
      <c r="B30" t="s">
        <v>625</v>
      </c>
      <c r="C30">
        <v>38</v>
      </c>
      <c r="D30">
        <v>19</v>
      </c>
      <c r="E30">
        <v>11</v>
      </c>
      <c r="F30">
        <v>8</v>
      </c>
      <c r="G30">
        <v>61</v>
      </c>
      <c r="H30">
        <v>37</v>
      </c>
      <c r="I30">
        <v>24</v>
      </c>
      <c r="J30">
        <v>68</v>
      </c>
      <c r="K30">
        <v>1.79</v>
      </c>
      <c r="L30">
        <v>52.7</v>
      </c>
      <c r="M30">
        <v>41.3</v>
      </c>
      <c r="N30">
        <v>11.4</v>
      </c>
      <c r="O30">
        <v>0.3</v>
      </c>
      <c r="P30" s="2">
        <v>46112</v>
      </c>
      <c r="Q30" t="s">
        <v>718</v>
      </c>
      <c r="R30" t="s">
        <v>597</v>
      </c>
      <c r="S30" t="s">
        <v>719</v>
      </c>
    </row>
    <row r="31" spans="1:19" s="55" customFormat="1" x14ac:dyDescent="0.25">
      <c r="A31" s="55">
        <v>6</v>
      </c>
      <c r="B31" s="55" t="s">
        <v>740</v>
      </c>
      <c r="C31" s="55">
        <v>38</v>
      </c>
      <c r="D31" s="55">
        <v>16</v>
      </c>
      <c r="E31" s="55">
        <v>12</v>
      </c>
      <c r="F31" s="55">
        <v>10</v>
      </c>
      <c r="G31" s="55">
        <v>51</v>
      </c>
      <c r="H31" s="55">
        <v>39</v>
      </c>
      <c r="I31" s="55">
        <v>12</v>
      </c>
      <c r="J31" s="55">
        <v>60</v>
      </c>
      <c r="K31" s="55">
        <v>1.58</v>
      </c>
      <c r="L31" s="55">
        <v>44.9</v>
      </c>
      <c r="M31" s="55">
        <v>41.3</v>
      </c>
      <c r="N31" s="55">
        <v>3.6</v>
      </c>
      <c r="O31" s="55">
        <v>0.1</v>
      </c>
      <c r="P31" s="56">
        <v>31710</v>
      </c>
      <c r="Q31" s="55" t="s">
        <v>720</v>
      </c>
      <c r="R31" s="55" t="s">
        <v>588</v>
      </c>
      <c r="S31" s="55" t="s">
        <v>40</v>
      </c>
    </row>
    <row r="32" spans="1:19" x14ac:dyDescent="0.25">
      <c r="A32">
        <v>7</v>
      </c>
      <c r="B32" t="s">
        <v>741</v>
      </c>
      <c r="C32">
        <v>38</v>
      </c>
      <c r="D32">
        <v>14</v>
      </c>
      <c r="E32">
        <v>15</v>
      </c>
      <c r="F32">
        <v>9</v>
      </c>
      <c r="G32">
        <v>48</v>
      </c>
      <c r="H32">
        <v>45</v>
      </c>
      <c r="I32">
        <v>3</v>
      </c>
      <c r="J32">
        <v>57</v>
      </c>
      <c r="K32">
        <v>1.5</v>
      </c>
      <c r="L32">
        <v>43.9</v>
      </c>
      <c r="M32">
        <v>50.2</v>
      </c>
      <c r="N32">
        <v>-6.3</v>
      </c>
      <c r="O32">
        <v>-0.17</v>
      </c>
      <c r="P32" s="2">
        <v>51259</v>
      </c>
      <c r="Q32" t="s">
        <v>721</v>
      </c>
      <c r="R32" t="s">
        <v>592</v>
      </c>
      <c r="S32" t="s">
        <v>595</v>
      </c>
    </row>
    <row r="33" spans="1:22" x14ac:dyDescent="0.25">
      <c r="A33">
        <v>8</v>
      </c>
      <c r="B33" t="s">
        <v>742</v>
      </c>
      <c r="C33">
        <v>38</v>
      </c>
      <c r="D33">
        <v>14</v>
      </c>
      <c r="E33">
        <v>11</v>
      </c>
      <c r="F33">
        <v>13</v>
      </c>
      <c r="G33">
        <v>65</v>
      </c>
      <c r="H33">
        <v>65</v>
      </c>
      <c r="I33">
        <v>0</v>
      </c>
      <c r="J33">
        <v>53</v>
      </c>
      <c r="K33">
        <v>1.39</v>
      </c>
      <c r="L33">
        <v>55.6</v>
      </c>
      <c r="M33">
        <v>58.7</v>
      </c>
      <c r="N33">
        <v>-3.2</v>
      </c>
      <c r="O33">
        <v>-0.08</v>
      </c>
      <c r="P33" s="2">
        <v>17957</v>
      </c>
      <c r="Q33" t="s">
        <v>722</v>
      </c>
      <c r="R33" t="s">
        <v>723</v>
      </c>
    </row>
    <row r="34" spans="1:22" s="53" customFormat="1" x14ac:dyDescent="0.25">
      <c r="A34" s="53">
        <v>9</v>
      </c>
      <c r="B34" s="53" t="s">
        <v>633</v>
      </c>
      <c r="C34" s="53">
        <v>38</v>
      </c>
      <c r="D34" s="53">
        <v>13</v>
      </c>
      <c r="E34" s="53">
        <v>10</v>
      </c>
      <c r="F34" s="53">
        <v>15</v>
      </c>
      <c r="G34" s="53">
        <v>40</v>
      </c>
      <c r="H34" s="53">
        <v>45</v>
      </c>
      <c r="I34" s="53">
        <v>-5</v>
      </c>
      <c r="J34" s="53">
        <v>49</v>
      </c>
      <c r="K34" s="53">
        <v>1.29</v>
      </c>
      <c r="L34" s="53">
        <v>43.1</v>
      </c>
      <c r="M34" s="53">
        <v>47.6</v>
      </c>
      <c r="N34" s="53">
        <v>-4.5</v>
      </c>
      <c r="O34" s="53">
        <v>-0.12</v>
      </c>
      <c r="P34" s="54">
        <v>43420</v>
      </c>
      <c r="Q34" s="53" t="s">
        <v>29</v>
      </c>
      <c r="R34" s="53" t="s">
        <v>28</v>
      </c>
    </row>
    <row r="35" spans="1:22" x14ac:dyDescent="0.25">
      <c r="A35">
        <v>10</v>
      </c>
      <c r="B35" t="s">
        <v>743</v>
      </c>
      <c r="C35">
        <v>38</v>
      </c>
      <c r="D35">
        <v>12</v>
      </c>
      <c r="E35">
        <v>10</v>
      </c>
      <c r="F35">
        <v>16</v>
      </c>
      <c r="G35">
        <v>36</v>
      </c>
      <c r="H35">
        <v>46</v>
      </c>
      <c r="I35">
        <v>-10</v>
      </c>
      <c r="J35">
        <v>46</v>
      </c>
      <c r="K35">
        <v>1.21</v>
      </c>
      <c r="L35">
        <v>46.2</v>
      </c>
      <c r="M35">
        <v>44.7</v>
      </c>
      <c r="N35">
        <v>1.5</v>
      </c>
      <c r="O35">
        <v>0.04</v>
      </c>
      <c r="P35" s="2">
        <v>17391</v>
      </c>
      <c r="Q35" t="s">
        <v>724</v>
      </c>
      <c r="R35" t="s">
        <v>683</v>
      </c>
    </row>
    <row r="36" spans="1:22" x14ac:dyDescent="0.25">
      <c r="A36">
        <v>11</v>
      </c>
      <c r="B36" t="s">
        <v>624</v>
      </c>
      <c r="C36">
        <v>38</v>
      </c>
      <c r="D36">
        <v>12</v>
      </c>
      <c r="E36">
        <v>9</v>
      </c>
      <c r="F36">
        <v>17</v>
      </c>
      <c r="G36">
        <v>45</v>
      </c>
      <c r="H36">
        <v>56</v>
      </c>
      <c r="I36">
        <v>-11</v>
      </c>
      <c r="J36">
        <v>45</v>
      </c>
      <c r="K36">
        <v>1.18</v>
      </c>
      <c r="L36">
        <v>40.5</v>
      </c>
      <c r="M36">
        <v>49.9</v>
      </c>
      <c r="N36">
        <v>-9.4</v>
      </c>
      <c r="O36">
        <v>-0.25</v>
      </c>
      <c r="P36" s="2">
        <v>19703</v>
      </c>
      <c r="Q36" t="s">
        <v>725</v>
      </c>
      <c r="R36" t="s">
        <v>661</v>
      </c>
    </row>
    <row r="37" spans="1:22" x14ac:dyDescent="0.25">
      <c r="A37">
        <v>12</v>
      </c>
      <c r="B37" t="s">
        <v>632</v>
      </c>
      <c r="C37">
        <v>38</v>
      </c>
      <c r="D37">
        <v>10</v>
      </c>
      <c r="E37">
        <v>13</v>
      </c>
      <c r="F37">
        <v>15</v>
      </c>
      <c r="G37">
        <v>42</v>
      </c>
      <c r="H37">
        <v>54</v>
      </c>
      <c r="I37">
        <v>-12</v>
      </c>
      <c r="J37">
        <v>43</v>
      </c>
      <c r="K37">
        <v>1.1299999999999999</v>
      </c>
      <c r="L37">
        <v>45.7</v>
      </c>
      <c r="M37">
        <v>53.8</v>
      </c>
      <c r="N37">
        <v>-8.1</v>
      </c>
      <c r="O37">
        <v>-0.21</v>
      </c>
      <c r="P37" s="2">
        <v>11456</v>
      </c>
      <c r="Q37" t="s">
        <v>726</v>
      </c>
      <c r="R37" t="s">
        <v>611</v>
      </c>
    </row>
    <row r="38" spans="1:22" x14ac:dyDescent="0.25">
      <c r="A38">
        <v>13</v>
      </c>
      <c r="B38" t="s">
        <v>630</v>
      </c>
      <c r="C38">
        <v>38</v>
      </c>
      <c r="D38">
        <v>10</v>
      </c>
      <c r="E38">
        <v>11</v>
      </c>
      <c r="F38">
        <v>17</v>
      </c>
      <c r="G38">
        <v>46</v>
      </c>
      <c r="H38">
        <v>57</v>
      </c>
      <c r="I38">
        <v>-11</v>
      </c>
      <c r="J38">
        <v>41</v>
      </c>
      <c r="K38">
        <v>1.08</v>
      </c>
      <c r="L38">
        <v>50.7</v>
      </c>
      <c r="M38">
        <v>54.6</v>
      </c>
      <c r="N38">
        <v>-3.8</v>
      </c>
      <c r="O38">
        <v>-0.1</v>
      </c>
      <c r="P38" s="2">
        <v>20039</v>
      </c>
      <c r="Q38" t="s">
        <v>727</v>
      </c>
      <c r="R38" t="s">
        <v>41</v>
      </c>
    </row>
    <row r="39" spans="1:22" x14ac:dyDescent="0.25">
      <c r="A39">
        <v>14</v>
      </c>
      <c r="B39" t="s">
        <v>629</v>
      </c>
      <c r="C39">
        <v>38</v>
      </c>
      <c r="D39">
        <v>10</v>
      </c>
      <c r="E39">
        <v>11</v>
      </c>
      <c r="F39">
        <v>17</v>
      </c>
      <c r="G39">
        <v>48</v>
      </c>
      <c r="H39">
        <v>54</v>
      </c>
      <c r="I39">
        <v>-6</v>
      </c>
      <c r="J39">
        <v>41</v>
      </c>
      <c r="K39">
        <v>1.08</v>
      </c>
      <c r="L39">
        <v>44.9</v>
      </c>
      <c r="M39">
        <v>55.9</v>
      </c>
      <c r="N39">
        <v>-11</v>
      </c>
      <c r="O39">
        <v>-0.28999999999999998</v>
      </c>
      <c r="P39" s="2">
        <v>34984</v>
      </c>
      <c r="Q39" t="s">
        <v>728</v>
      </c>
      <c r="R39" t="s">
        <v>672</v>
      </c>
    </row>
    <row r="40" spans="1:22" x14ac:dyDescent="0.25">
      <c r="A40">
        <v>15</v>
      </c>
      <c r="B40" t="s">
        <v>626</v>
      </c>
      <c r="C40">
        <v>38</v>
      </c>
      <c r="D40">
        <v>8</v>
      </c>
      <c r="E40">
        <v>16</v>
      </c>
      <c r="F40">
        <v>14</v>
      </c>
      <c r="G40">
        <v>33</v>
      </c>
      <c r="H40">
        <v>44</v>
      </c>
      <c r="I40">
        <v>-11</v>
      </c>
      <c r="J40">
        <v>40</v>
      </c>
      <c r="K40">
        <v>1.05</v>
      </c>
      <c r="L40">
        <v>40.5</v>
      </c>
      <c r="M40">
        <v>42.9</v>
      </c>
      <c r="N40">
        <v>-2.5</v>
      </c>
      <c r="O40">
        <v>-0.06</v>
      </c>
      <c r="P40" s="2">
        <v>17767</v>
      </c>
      <c r="Q40" t="s">
        <v>729</v>
      </c>
      <c r="R40" t="s">
        <v>599</v>
      </c>
    </row>
    <row r="41" spans="1:22" x14ac:dyDescent="0.25">
      <c r="A41">
        <v>16</v>
      </c>
      <c r="B41" t="s">
        <v>744</v>
      </c>
      <c r="C41">
        <v>38</v>
      </c>
      <c r="D41">
        <v>10</v>
      </c>
      <c r="E41">
        <v>10</v>
      </c>
      <c r="F41">
        <v>18</v>
      </c>
      <c r="G41">
        <v>33</v>
      </c>
      <c r="H41">
        <v>47</v>
      </c>
      <c r="I41">
        <v>-14</v>
      </c>
      <c r="J41">
        <v>40</v>
      </c>
      <c r="K41">
        <v>1.05</v>
      </c>
      <c r="L41">
        <v>33.200000000000003</v>
      </c>
      <c r="M41">
        <v>56.6</v>
      </c>
      <c r="N41">
        <v>-23.5</v>
      </c>
      <c r="O41">
        <v>-0.62</v>
      </c>
      <c r="P41" s="2">
        <v>25041</v>
      </c>
      <c r="Q41" t="s">
        <v>730</v>
      </c>
      <c r="R41" t="s">
        <v>731</v>
      </c>
    </row>
    <row r="42" spans="1:22" x14ac:dyDescent="0.25">
      <c r="A42">
        <v>17</v>
      </c>
      <c r="B42" t="s">
        <v>628</v>
      </c>
      <c r="C42">
        <v>38</v>
      </c>
      <c r="D42">
        <v>8</v>
      </c>
      <c r="E42">
        <v>14</v>
      </c>
      <c r="F42">
        <v>16</v>
      </c>
      <c r="G42">
        <v>29</v>
      </c>
      <c r="H42">
        <v>48</v>
      </c>
      <c r="I42">
        <v>-19</v>
      </c>
      <c r="J42">
        <v>38</v>
      </c>
      <c r="K42">
        <v>1</v>
      </c>
      <c r="L42">
        <v>42.3</v>
      </c>
      <c r="M42">
        <v>44.6</v>
      </c>
      <c r="N42">
        <v>-2.2999999999999998</v>
      </c>
      <c r="O42">
        <v>-0.06</v>
      </c>
      <c r="P42" s="2">
        <v>12749</v>
      </c>
      <c r="Q42" t="s">
        <v>732</v>
      </c>
      <c r="R42" t="s">
        <v>603</v>
      </c>
    </row>
    <row r="43" spans="1:22" x14ac:dyDescent="0.25">
      <c r="A43">
        <v>18</v>
      </c>
      <c r="B43" t="s">
        <v>631</v>
      </c>
      <c r="C43">
        <v>38</v>
      </c>
      <c r="D43">
        <v>6</v>
      </c>
      <c r="E43">
        <v>15</v>
      </c>
      <c r="F43">
        <v>17</v>
      </c>
      <c r="G43">
        <v>26</v>
      </c>
      <c r="H43">
        <v>55</v>
      </c>
      <c r="I43">
        <v>-29</v>
      </c>
      <c r="J43">
        <v>33</v>
      </c>
      <c r="K43">
        <v>0.87</v>
      </c>
      <c r="L43">
        <v>36</v>
      </c>
      <c r="M43">
        <v>52.3</v>
      </c>
      <c r="N43">
        <v>-16.3</v>
      </c>
      <c r="O43">
        <v>-0.43</v>
      </c>
      <c r="P43" s="2">
        <v>18016</v>
      </c>
      <c r="Q43" t="s">
        <v>733</v>
      </c>
      <c r="R43" t="s">
        <v>609</v>
      </c>
      <c r="S43" t="s">
        <v>617</v>
      </c>
    </row>
    <row r="44" spans="1:22" x14ac:dyDescent="0.25">
      <c r="A44">
        <v>19</v>
      </c>
      <c r="B44" t="s">
        <v>634</v>
      </c>
      <c r="C44">
        <v>38</v>
      </c>
      <c r="D44">
        <v>3</v>
      </c>
      <c r="E44">
        <v>12</v>
      </c>
      <c r="F44">
        <v>23</v>
      </c>
      <c r="G44">
        <v>43</v>
      </c>
      <c r="H44">
        <v>75</v>
      </c>
      <c r="I44">
        <v>-32</v>
      </c>
      <c r="J44">
        <v>21</v>
      </c>
      <c r="K44">
        <v>0.55000000000000004</v>
      </c>
      <c r="L44">
        <v>48.7</v>
      </c>
      <c r="M44">
        <v>61.6</v>
      </c>
      <c r="N44">
        <v>-12.9</v>
      </c>
      <c r="O44">
        <v>-0.34</v>
      </c>
      <c r="P44" s="2">
        <v>12893</v>
      </c>
      <c r="Q44" t="s">
        <v>734</v>
      </c>
      <c r="R44" t="s">
        <v>735</v>
      </c>
      <c r="S44" t="s">
        <v>617</v>
      </c>
    </row>
    <row r="45" spans="1:22" x14ac:dyDescent="0.25">
      <c r="A45">
        <v>20</v>
      </c>
      <c r="B45" t="s">
        <v>745</v>
      </c>
      <c r="C45">
        <v>38</v>
      </c>
      <c r="D45">
        <v>4</v>
      </c>
      <c r="E45">
        <v>9</v>
      </c>
      <c r="F45">
        <v>25</v>
      </c>
      <c r="G45">
        <v>38</v>
      </c>
      <c r="H45">
        <v>79</v>
      </c>
      <c r="I45">
        <v>-41</v>
      </c>
      <c r="J45">
        <v>21</v>
      </c>
      <c r="K45">
        <v>0.55000000000000004</v>
      </c>
      <c r="L45">
        <v>42.6</v>
      </c>
      <c r="M45">
        <v>64.2</v>
      </c>
      <c r="N45">
        <v>-21.6</v>
      </c>
      <c r="O45">
        <v>-0.56999999999999995</v>
      </c>
      <c r="P45" s="2">
        <v>16350</v>
      </c>
      <c r="Q45" t="s">
        <v>736</v>
      </c>
      <c r="R45" t="s">
        <v>737</v>
      </c>
    </row>
    <row r="48" spans="1:22" x14ac:dyDescent="0.25">
      <c r="A48" s="36" t="s">
        <v>639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</row>
    <row r="50" spans="1:19" x14ac:dyDescent="0.25">
      <c r="A50" t="s">
        <v>577</v>
      </c>
      <c r="B50" t="s">
        <v>15</v>
      </c>
      <c r="C50" t="s">
        <v>17</v>
      </c>
      <c r="D50" t="s">
        <v>18</v>
      </c>
      <c r="E50" t="s">
        <v>4</v>
      </c>
      <c r="F50" t="s">
        <v>19</v>
      </c>
      <c r="G50" t="s">
        <v>20</v>
      </c>
      <c r="H50" t="s">
        <v>21</v>
      </c>
      <c r="I50" t="s">
        <v>22</v>
      </c>
      <c r="J50" t="s">
        <v>23</v>
      </c>
      <c r="K50" t="s">
        <v>578</v>
      </c>
      <c r="L50" t="s">
        <v>55</v>
      </c>
      <c r="M50" t="s">
        <v>56</v>
      </c>
      <c r="N50" t="s">
        <v>579</v>
      </c>
      <c r="O50" t="s">
        <v>580</v>
      </c>
      <c r="P50" t="s">
        <v>24</v>
      </c>
      <c r="Q50" t="s">
        <v>25</v>
      </c>
      <c r="R50" t="s">
        <v>26</v>
      </c>
      <c r="S50" t="s">
        <v>27</v>
      </c>
    </row>
    <row r="51" spans="1:19" x14ac:dyDescent="0.25">
      <c r="A51">
        <v>1</v>
      </c>
      <c r="B51" t="s">
        <v>622</v>
      </c>
      <c r="C51">
        <v>38</v>
      </c>
      <c r="D51">
        <v>28</v>
      </c>
      <c r="E51">
        <v>4</v>
      </c>
      <c r="F51">
        <v>6</v>
      </c>
      <c r="G51">
        <v>70</v>
      </c>
      <c r="H51">
        <v>20</v>
      </c>
      <c r="I51">
        <v>50</v>
      </c>
      <c r="J51">
        <v>88</v>
      </c>
      <c r="K51">
        <v>2.3199999999999998</v>
      </c>
      <c r="L51">
        <v>75.5</v>
      </c>
      <c r="M51">
        <v>33.200000000000003</v>
      </c>
      <c r="N51">
        <v>42.3</v>
      </c>
      <c r="O51">
        <v>1.1100000000000001</v>
      </c>
      <c r="P51" s="2">
        <v>83498</v>
      </c>
      <c r="Q51" t="s">
        <v>581</v>
      </c>
      <c r="R51" t="s">
        <v>582</v>
      </c>
      <c r="S51" t="s">
        <v>36</v>
      </c>
    </row>
    <row r="52" spans="1:19" x14ac:dyDescent="0.25">
      <c r="A52">
        <v>2</v>
      </c>
      <c r="B52" t="s">
        <v>926</v>
      </c>
      <c r="C52">
        <v>38</v>
      </c>
      <c r="D52">
        <v>24</v>
      </c>
      <c r="E52">
        <v>6</v>
      </c>
      <c r="F52">
        <v>8</v>
      </c>
      <c r="G52">
        <v>75</v>
      </c>
      <c r="H52">
        <v>36</v>
      </c>
      <c r="I52">
        <v>39</v>
      </c>
      <c r="J52">
        <v>78</v>
      </c>
      <c r="K52">
        <v>2.0499999999999998</v>
      </c>
      <c r="L52">
        <v>75.5</v>
      </c>
      <c r="M52">
        <v>38.9</v>
      </c>
      <c r="N52">
        <v>36.6</v>
      </c>
      <c r="O52">
        <v>0.96</v>
      </c>
      <c r="P52" s="2">
        <v>56649</v>
      </c>
      <c r="Q52" t="s">
        <v>583</v>
      </c>
      <c r="R52" t="s">
        <v>584</v>
      </c>
      <c r="S52" t="s">
        <v>36</v>
      </c>
    </row>
    <row r="53" spans="1:19" x14ac:dyDescent="0.25">
      <c r="A53">
        <v>3</v>
      </c>
      <c r="B53" t="s">
        <v>623</v>
      </c>
      <c r="C53">
        <v>38</v>
      </c>
      <c r="D53">
        <v>23</v>
      </c>
      <c r="E53">
        <v>8</v>
      </c>
      <c r="F53">
        <v>7</v>
      </c>
      <c r="G53">
        <v>70</v>
      </c>
      <c r="H53">
        <v>33</v>
      </c>
      <c r="I53">
        <v>37</v>
      </c>
      <c r="J53">
        <v>77</v>
      </c>
      <c r="K53">
        <v>2.0299999999999998</v>
      </c>
      <c r="L53">
        <v>61.9</v>
      </c>
      <c r="M53">
        <v>41.1</v>
      </c>
      <c r="N53">
        <v>20.8</v>
      </c>
      <c r="O53">
        <v>0.55000000000000004</v>
      </c>
      <c r="P53" s="2">
        <v>55800</v>
      </c>
      <c r="Q53" t="s">
        <v>585</v>
      </c>
      <c r="R53" t="s">
        <v>586</v>
      </c>
      <c r="S53" t="s">
        <v>36</v>
      </c>
    </row>
    <row r="54" spans="1:19" s="55" customFormat="1" x14ac:dyDescent="0.25">
      <c r="A54" s="55">
        <v>4</v>
      </c>
      <c r="B54" s="55" t="s">
        <v>49</v>
      </c>
      <c r="C54" s="55">
        <v>38</v>
      </c>
      <c r="D54" s="55">
        <v>21</v>
      </c>
      <c r="E54" s="55">
        <v>8</v>
      </c>
      <c r="F54" s="55">
        <v>9</v>
      </c>
      <c r="G54" s="55">
        <v>51</v>
      </c>
      <c r="H54" s="55">
        <v>35</v>
      </c>
      <c r="I54" s="55">
        <v>16</v>
      </c>
      <c r="J54" s="55">
        <v>71</v>
      </c>
      <c r="K54" s="55">
        <v>1.87</v>
      </c>
      <c r="L54" s="55">
        <v>52.9</v>
      </c>
      <c r="M54" s="55">
        <v>33</v>
      </c>
      <c r="N54" s="55">
        <v>19.8</v>
      </c>
      <c r="O54" s="55">
        <v>0.52</v>
      </c>
      <c r="P54" s="56">
        <v>32189</v>
      </c>
      <c r="Q54" s="55" t="s">
        <v>587</v>
      </c>
      <c r="R54" s="55" t="s">
        <v>588</v>
      </c>
      <c r="S54" s="55" t="s">
        <v>36</v>
      </c>
    </row>
    <row r="55" spans="1:19" x14ac:dyDescent="0.25">
      <c r="A55">
        <v>5</v>
      </c>
      <c r="B55" t="s">
        <v>10</v>
      </c>
      <c r="C55">
        <v>38</v>
      </c>
      <c r="D55">
        <v>19</v>
      </c>
      <c r="E55">
        <v>7</v>
      </c>
      <c r="F55">
        <v>12</v>
      </c>
      <c r="G55">
        <v>59</v>
      </c>
      <c r="H55">
        <v>40</v>
      </c>
      <c r="I55">
        <v>19</v>
      </c>
      <c r="J55">
        <v>64</v>
      </c>
      <c r="K55">
        <v>1.68</v>
      </c>
      <c r="L55">
        <v>61.6</v>
      </c>
      <c r="M55">
        <v>49.9</v>
      </c>
      <c r="N55">
        <v>11.8</v>
      </c>
      <c r="O55">
        <v>0.31</v>
      </c>
      <c r="P55" s="2">
        <v>16406</v>
      </c>
      <c r="Q55" t="s">
        <v>589</v>
      </c>
      <c r="R55" t="s">
        <v>590</v>
      </c>
      <c r="S55" t="s">
        <v>40</v>
      </c>
    </row>
    <row r="56" spans="1:19" x14ac:dyDescent="0.25">
      <c r="A56">
        <v>6</v>
      </c>
      <c r="B56" t="s">
        <v>11</v>
      </c>
      <c r="C56">
        <v>38</v>
      </c>
      <c r="D56">
        <v>17</v>
      </c>
      <c r="E56">
        <v>9</v>
      </c>
      <c r="F56">
        <v>12</v>
      </c>
      <c r="G56">
        <v>46</v>
      </c>
      <c r="H56">
        <v>41</v>
      </c>
      <c r="I56">
        <v>5</v>
      </c>
      <c r="J56">
        <v>60</v>
      </c>
      <c r="K56">
        <v>1.58</v>
      </c>
      <c r="L56">
        <v>51.3</v>
      </c>
      <c r="M56">
        <v>50</v>
      </c>
      <c r="N56">
        <v>1.3</v>
      </c>
      <c r="O56">
        <v>0.03</v>
      </c>
      <c r="P56" s="2">
        <v>49635</v>
      </c>
      <c r="Q56" t="s">
        <v>591</v>
      </c>
      <c r="R56" t="s">
        <v>592</v>
      </c>
      <c r="S56" t="s">
        <v>40</v>
      </c>
    </row>
    <row r="57" spans="1:19" x14ac:dyDescent="0.25">
      <c r="A57">
        <v>7</v>
      </c>
      <c r="B57" t="s">
        <v>624</v>
      </c>
      <c r="C57">
        <v>38</v>
      </c>
      <c r="D57">
        <v>15</v>
      </c>
      <c r="E57">
        <v>8</v>
      </c>
      <c r="F57">
        <v>15</v>
      </c>
      <c r="G57">
        <v>37</v>
      </c>
      <c r="H57">
        <v>42</v>
      </c>
      <c r="I57">
        <v>-5</v>
      </c>
      <c r="J57">
        <v>53</v>
      </c>
      <c r="K57">
        <v>1.39</v>
      </c>
      <c r="L57">
        <v>39.799999999999997</v>
      </c>
      <c r="M57">
        <v>45.7</v>
      </c>
      <c r="N57">
        <v>-5.9</v>
      </c>
      <c r="O57">
        <v>-0.15</v>
      </c>
      <c r="P57" s="2">
        <v>19655</v>
      </c>
      <c r="Q57" t="s">
        <v>593</v>
      </c>
      <c r="R57" t="s">
        <v>594</v>
      </c>
      <c r="S57" t="s">
        <v>595</v>
      </c>
    </row>
    <row r="58" spans="1:19" x14ac:dyDescent="0.25">
      <c r="A58">
        <v>8</v>
      </c>
      <c r="B58" t="s">
        <v>625</v>
      </c>
      <c r="C58">
        <v>38</v>
      </c>
      <c r="D58">
        <v>14</v>
      </c>
      <c r="E58">
        <v>9</v>
      </c>
      <c r="F58">
        <v>15</v>
      </c>
      <c r="G58">
        <v>47</v>
      </c>
      <c r="H58">
        <v>43</v>
      </c>
      <c r="I58">
        <v>4</v>
      </c>
      <c r="J58">
        <v>51</v>
      </c>
      <c r="K58">
        <v>1.34</v>
      </c>
      <c r="L58">
        <v>54.2</v>
      </c>
      <c r="M58">
        <v>36.9</v>
      </c>
      <c r="N58">
        <v>17.3</v>
      </c>
      <c r="O58">
        <v>0.46</v>
      </c>
      <c r="P58" s="2">
        <v>43488</v>
      </c>
      <c r="Q58" t="s">
        <v>596</v>
      </c>
      <c r="R58" t="s">
        <v>597</v>
      </c>
    </row>
    <row r="59" spans="1:19" x14ac:dyDescent="0.25">
      <c r="A59">
        <v>9</v>
      </c>
      <c r="B59" t="s">
        <v>626</v>
      </c>
      <c r="C59">
        <v>38</v>
      </c>
      <c r="D59">
        <v>14</v>
      </c>
      <c r="E59">
        <v>8</v>
      </c>
      <c r="F59">
        <v>16</v>
      </c>
      <c r="G59">
        <v>37</v>
      </c>
      <c r="H59">
        <v>43</v>
      </c>
      <c r="I59">
        <v>-6</v>
      </c>
      <c r="J59">
        <v>50</v>
      </c>
      <c r="K59">
        <v>1.32</v>
      </c>
      <c r="L59">
        <v>35.200000000000003</v>
      </c>
      <c r="M59">
        <v>46.4</v>
      </c>
      <c r="N59">
        <v>-11.2</v>
      </c>
      <c r="O59">
        <v>-0.3</v>
      </c>
      <c r="P59" s="2">
        <v>14799</v>
      </c>
      <c r="Q59" t="s">
        <v>598</v>
      </c>
      <c r="R59" t="s">
        <v>599</v>
      </c>
    </row>
    <row r="60" spans="1:19" x14ac:dyDescent="0.25">
      <c r="A60">
        <v>10</v>
      </c>
      <c r="B60" t="s">
        <v>627</v>
      </c>
      <c r="C60">
        <v>38</v>
      </c>
      <c r="D60">
        <v>13</v>
      </c>
      <c r="E60">
        <v>10</v>
      </c>
      <c r="F60">
        <v>15</v>
      </c>
      <c r="G60">
        <v>58</v>
      </c>
      <c r="H60">
        <v>55</v>
      </c>
      <c r="I60">
        <v>3</v>
      </c>
      <c r="J60">
        <v>49</v>
      </c>
      <c r="K60">
        <v>1.29</v>
      </c>
      <c r="L60">
        <v>50.6</v>
      </c>
      <c r="M60">
        <v>54.9</v>
      </c>
      <c r="N60">
        <v>-4.3</v>
      </c>
      <c r="O60">
        <v>-0.11</v>
      </c>
      <c r="P60" s="2">
        <v>11471</v>
      </c>
      <c r="Q60" t="s">
        <v>600</v>
      </c>
      <c r="R60" t="s">
        <v>601</v>
      </c>
    </row>
    <row r="61" spans="1:19" x14ac:dyDescent="0.25">
      <c r="A61">
        <v>11</v>
      </c>
      <c r="B61" t="s">
        <v>628</v>
      </c>
      <c r="C61">
        <v>38</v>
      </c>
      <c r="D61">
        <v>13</v>
      </c>
      <c r="E61">
        <v>10</v>
      </c>
      <c r="F61">
        <v>15</v>
      </c>
      <c r="G61">
        <v>45</v>
      </c>
      <c r="H61">
        <v>53</v>
      </c>
      <c r="I61">
        <v>-8</v>
      </c>
      <c r="J61">
        <v>49</v>
      </c>
      <c r="K61">
        <v>1.29</v>
      </c>
      <c r="L61">
        <v>43.9</v>
      </c>
      <c r="M61">
        <v>50.3</v>
      </c>
      <c r="N61">
        <v>-6.4</v>
      </c>
      <c r="O61">
        <v>-0.17</v>
      </c>
      <c r="P61" s="2">
        <v>12525</v>
      </c>
      <c r="Q61" t="s">
        <v>602</v>
      </c>
      <c r="R61" t="s">
        <v>603</v>
      </c>
    </row>
    <row r="62" spans="1:19" x14ac:dyDescent="0.25">
      <c r="A62">
        <v>12</v>
      </c>
      <c r="B62" t="s">
        <v>629</v>
      </c>
      <c r="C62">
        <v>38</v>
      </c>
      <c r="D62">
        <v>13</v>
      </c>
      <c r="E62">
        <v>10</v>
      </c>
      <c r="F62">
        <v>15</v>
      </c>
      <c r="G62">
        <v>47</v>
      </c>
      <c r="H62">
        <v>54</v>
      </c>
      <c r="I62">
        <v>-7</v>
      </c>
      <c r="J62">
        <v>49</v>
      </c>
      <c r="K62">
        <v>1.29</v>
      </c>
      <c r="L62">
        <v>46.3</v>
      </c>
      <c r="M62">
        <v>54.2</v>
      </c>
      <c r="N62">
        <v>-7.9</v>
      </c>
      <c r="O62">
        <v>-0.21</v>
      </c>
      <c r="P62" s="2">
        <v>35566</v>
      </c>
      <c r="Q62" t="s">
        <v>604</v>
      </c>
      <c r="R62" t="s">
        <v>605</v>
      </c>
    </row>
    <row r="63" spans="1:19" x14ac:dyDescent="0.25">
      <c r="A63">
        <v>13</v>
      </c>
      <c r="B63" t="s">
        <v>630</v>
      </c>
      <c r="C63">
        <v>38</v>
      </c>
      <c r="D63">
        <v>11</v>
      </c>
      <c r="E63">
        <v>10</v>
      </c>
      <c r="F63">
        <v>17</v>
      </c>
      <c r="G63">
        <v>43</v>
      </c>
      <c r="H63">
        <v>53</v>
      </c>
      <c r="I63">
        <v>-10</v>
      </c>
      <c r="J63">
        <v>43</v>
      </c>
      <c r="K63">
        <v>1.1299999999999999</v>
      </c>
      <c r="L63">
        <v>42.6</v>
      </c>
      <c r="M63">
        <v>45.4</v>
      </c>
      <c r="N63">
        <v>-2.8</v>
      </c>
      <c r="O63">
        <v>-7.0000000000000007E-2</v>
      </c>
      <c r="P63" s="2">
        <v>14425</v>
      </c>
      <c r="Q63" t="s">
        <v>606</v>
      </c>
      <c r="R63" t="s">
        <v>607</v>
      </c>
    </row>
    <row r="64" spans="1:19" x14ac:dyDescent="0.25">
      <c r="A64">
        <v>14</v>
      </c>
      <c r="B64" t="s">
        <v>631</v>
      </c>
      <c r="C64">
        <v>38</v>
      </c>
      <c r="D64">
        <v>10</v>
      </c>
      <c r="E64">
        <v>12</v>
      </c>
      <c r="F64">
        <v>16</v>
      </c>
      <c r="G64">
        <v>30</v>
      </c>
      <c r="H64">
        <v>53</v>
      </c>
      <c r="I64">
        <v>-23</v>
      </c>
      <c r="J64">
        <v>42</v>
      </c>
      <c r="K64">
        <v>1.1100000000000001</v>
      </c>
      <c r="L64">
        <v>41.5</v>
      </c>
      <c r="M64">
        <v>61.6</v>
      </c>
      <c r="N64">
        <v>-20.100000000000001</v>
      </c>
      <c r="O64">
        <v>-0.53</v>
      </c>
      <c r="P64" s="2">
        <v>17741</v>
      </c>
      <c r="Q64" t="s">
        <v>608</v>
      </c>
      <c r="R64" t="s">
        <v>609</v>
      </c>
    </row>
    <row r="65" spans="1:19" x14ac:dyDescent="0.25">
      <c r="A65">
        <v>15</v>
      </c>
      <c r="B65" t="s">
        <v>632</v>
      </c>
      <c r="C65">
        <v>38</v>
      </c>
      <c r="D65">
        <v>10</v>
      </c>
      <c r="E65">
        <v>12</v>
      </c>
      <c r="F65">
        <v>16</v>
      </c>
      <c r="G65">
        <v>34</v>
      </c>
      <c r="H65">
        <v>45</v>
      </c>
      <c r="I65">
        <v>-11</v>
      </c>
      <c r="J65">
        <v>42</v>
      </c>
      <c r="K65">
        <v>1.1100000000000001</v>
      </c>
      <c r="L65">
        <v>36.700000000000003</v>
      </c>
      <c r="M65">
        <v>46</v>
      </c>
      <c r="N65">
        <v>-9.4</v>
      </c>
      <c r="O65">
        <v>-0.25</v>
      </c>
      <c r="P65" s="2">
        <v>11592</v>
      </c>
      <c r="Q65" t="s">
        <v>610</v>
      </c>
      <c r="R65" t="s">
        <v>611</v>
      </c>
    </row>
    <row r="66" spans="1:19" s="53" customFormat="1" x14ac:dyDescent="0.25">
      <c r="A66" s="53">
        <v>16</v>
      </c>
      <c r="B66" s="53" t="s">
        <v>633</v>
      </c>
      <c r="C66" s="53">
        <v>38</v>
      </c>
      <c r="D66" s="53">
        <v>11</v>
      </c>
      <c r="E66" s="53">
        <v>9</v>
      </c>
      <c r="F66" s="53">
        <v>18</v>
      </c>
      <c r="G66" s="53">
        <v>42</v>
      </c>
      <c r="H66" s="53">
        <v>45</v>
      </c>
      <c r="I66" s="53">
        <v>-3</v>
      </c>
      <c r="J66" s="53">
        <v>42</v>
      </c>
      <c r="K66" s="53">
        <v>1.1100000000000001</v>
      </c>
      <c r="L66" s="53">
        <v>49.3</v>
      </c>
      <c r="M66" s="53">
        <v>43.5</v>
      </c>
      <c r="N66" s="53">
        <v>5.8</v>
      </c>
      <c r="O66" s="53">
        <v>0.15</v>
      </c>
      <c r="P66" s="54">
        <v>40602</v>
      </c>
      <c r="Q66" s="53" t="s">
        <v>612</v>
      </c>
      <c r="R66" s="53" t="s">
        <v>28</v>
      </c>
    </row>
    <row r="67" spans="1:19" x14ac:dyDescent="0.25">
      <c r="A67">
        <v>17</v>
      </c>
      <c r="B67" t="s">
        <v>634</v>
      </c>
      <c r="C67">
        <v>38</v>
      </c>
      <c r="D67">
        <v>11</v>
      </c>
      <c r="E67">
        <v>8</v>
      </c>
      <c r="F67">
        <v>19</v>
      </c>
      <c r="G67">
        <v>49</v>
      </c>
      <c r="H67">
        <v>65</v>
      </c>
      <c r="I67">
        <v>-16</v>
      </c>
      <c r="J67">
        <v>41</v>
      </c>
      <c r="K67">
        <v>1.08</v>
      </c>
      <c r="L67">
        <v>45.5</v>
      </c>
      <c r="M67">
        <v>62.5</v>
      </c>
      <c r="N67">
        <v>-17</v>
      </c>
      <c r="O67">
        <v>-0.45</v>
      </c>
      <c r="P67" s="2">
        <v>12961</v>
      </c>
      <c r="Q67" t="s">
        <v>613</v>
      </c>
      <c r="R67" t="s">
        <v>614</v>
      </c>
    </row>
    <row r="68" spans="1:19" x14ac:dyDescent="0.25">
      <c r="A68">
        <v>18</v>
      </c>
      <c r="B68" t="s">
        <v>635</v>
      </c>
      <c r="C68">
        <v>38</v>
      </c>
      <c r="D68">
        <v>11</v>
      </c>
      <c r="E68">
        <v>7</v>
      </c>
      <c r="F68">
        <v>20</v>
      </c>
      <c r="G68">
        <v>33</v>
      </c>
      <c r="H68">
        <v>63</v>
      </c>
      <c r="I68">
        <v>-30</v>
      </c>
      <c r="J68">
        <v>40</v>
      </c>
      <c r="K68">
        <v>1.05</v>
      </c>
      <c r="L68">
        <v>38.5</v>
      </c>
      <c r="M68">
        <v>65.2</v>
      </c>
      <c r="N68">
        <v>-26.6</v>
      </c>
      <c r="O68">
        <v>-0.7</v>
      </c>
      <c r="P68" s="2">
        <v>20943</v>
      </c>
      <c r="Q68" t="s">
        <v>615</v>
      </c>
      <c r="R68" t="s">
        <v>616</v>
      </c>
      <c r="S68" t="s">
        <v>617</v>
      </c>
    </row>
    <row r="69" spans="1:19" x14ac:dyDescent="0.25">
      <c r="A69">
        <v>19</v>
      </c>
      <c r="B69" t="s">
        <v>636</v>
      </c>
      <c r="C69">
        <v>38</v>
      </c>
      <c r="D69">
        <v>8</v>
      </c>
      <c r="E69">
        <v>13</v>
      </c>
      <c r="F69">
        <v>17</v>
      </c>
      <c r="G69">
        <v>52</v>
      </c>
      <c r="H69">
        <v>69</v>
      </c>
      <c r="I69">
        <v>-17</v>
      </c>
      <c r="J69">
        <v>37</v>
      </c>
      <c r="K69">
        <v>0.97</v>
      </c>
      <c r="L69">
        <v>48.3</v>
      </c>
      <c r="M69">
        <v>59.8</v>
      </c>
      <c r="N69">
        <v>-11.5</v>
      </c>
      <c r="O69">
        <v>-0.3</v>
      </c>
      <c r="P69" s="2">
        <v>21601</v>
      </c>
      <c r="Q69" t="s">
        <v>618</v>
      </c>
      <c r="R69" t="s">
        <v>619</v>
      </c>
      <c r="S69" t="s">
        <v>617</v>
      </c>
    </row>
    <row r="71" spans="1:19" s="36" customFormat="1" x14ac:dyDescent="0.25">
      <c r="A71" s="36" t="s">
        <v>746</v>
      </c>
    </row>
    <row r="73" spans="1:19" x14ac:dyDescent="0.25">
      <c r="A73" t="s">
        <v>577</v>
      </c>
      <c r="B73" t="s">
        <v>15</v>
      </c>
      <c r="C73" t="s">
        <v>17</v>
      </c>
      <c r="D73" t="s">
        <v>18</v>
      </c>
      <c r="E73" t="s">
        <v>4</v>
      </c>
      <c r="F73" t="s">
        <v>19</v>
      </c>
      <c r="G73" t="s">
        <v>20</v>
      </c>
      <c r="H73" t="s">
        <v>21</v>
      </c>
      <c r="I73" t="s">
        <v>22</v>
      </c>
      <c r="J73" t="s">
        <v>23</v>
      </c>
      <c r="K73" t="s">
        <v>578</v>
      </c>
      <c r="L73" t="s">
        <v>55</v>
      </c>
      <c r="M73" t="s">
        <v>56</v>
      </c>
      <c r="N73" t="s">
        <v>579</v>
      </c>
      <c r="O73" t="s">
        <v>580</v>
      </c>
      <c r="P73" t="s">
        <v>24</v>
      </c>
      <c r="Q73" t="s">
        <v>25</v>
      </c>
      <c r="R73" t="s">
        <v>26</v>
      </c>
      <c r="S73" t="s">
        <v>27</v>
      </c>
    </row>
    <row r="74" spans="1:19" x14ac:dyDescent="0.25">
      <c r="A74">
        <v>1</v>
      </c>
      <c r="B74" t="s">
        <v>738</v>
      </c>
      <c r="C74">
        <v>38</v>
      </c>
      <c r="D74">
        <v>26</v>
      </c>
      <c r="E74">
        <v>8</v>
      </c>
      <c r="F74">
        <v>4</v>
      </c>
      <c r="G74">
        <v>80</v>
      </c>
      <c r="H74">
        <v>31</v>
      </c>
      <c r="I74">
        <v>49</v>
      </c>
      <c r="J74">
        <v>86</v>
      </c>
      <c r="K74">
        <v>2.2599999999999998</v>
      </c>
      <c r="L74">
        <v>71.7</v>
      </c>
      <c r="M74">
        <v>43.9</v>
      </c>
      <c r="N74">
        <v>27.8</v>
      </c>
      <c r="O74">
        <v>0.73</v>
      </c>
      <c r="P74" s="2">
        <v>41235</v>
      </c>
      <c r="Q74" t="s">
        <v>747</v>
      </c>
      <c r="R74" t="s">
        <v>584</v>
      </c>
      <c r="S74" t="s">
        <v>36</v>
      </c>
    </row>
    <row r="75" spans="1:19" x14ac:dyDescent="0.25">
      <c r="A75">
        <v>2</v>
      </c>
      <c r="B75" t="s">
        <v>693</v>
      </c>
      <c r="C75">
        <v>38</v>
      </c>
      <c r="D75">
        <v>21</v>
      </c>
      <c r="E75">
        <v>10</v>
      </c>
      <c r="F75">
        <v>7</v>
      </c>
      <c r="G75">
        <v>68</v>
      </c>
      <c r="H75">
        <v>38</v>
      </c>
      <c r="I75">
        <v>30</v>
      </c>
      <c r="J75">
        <v>73</v>
      </c>
      <c r="K75">
        <v>1.92</v>
      </c>
      <c r="L75">
        <v>63.4</v>
      </c>
      <c r="M75">
        <v>34.4</v>
      </c>
      <c r="N75">
        <v>29</v>
      </c>
      <c r="O75">
        <v>0.76</v>
      </c>
      <c r="P75" s="2">
        <v>53982</v>
      </c>
      <c r="Q75" t="s">
        <v>748</v>
      </c>
      <c r="R75" t="s">
        <v>582</v>
      </c>
      <c r="S75" t="s">
        <v>36</v>
      </c>
    </row>
    <row r="76" spans="1:19" x14ac:dyDescent="0.25">
      <c r="A76">
        <v>3</v>
      </c>
      <c r="B76" t="s">
        <v>739</v>
      </c>
      <c r="C76">
        <v>38</v>
      </c>
      <c r="D76">
        <v>21</v>
      </c>
      <c r="E76">
        <v>8</v>
      </c>
      <c r="F76">
        <v>9</v>
      </c>
      <c r="G76">
        <v>65</v>
      </c>
      <c r="H76">
        <v>43</v>
      </c>
      <c r="I76">
        <v>22</v>
      </c>
      <c r="J76">
        <v>71</v>
      </c>
      <c r="K76">
        <v>1.87</v>
      </c>
      <c r="L76">
        <v>54.4</v>
      </c>
      <c r="M76">
        <v>33.4</v>
      </c>
      <c r="N76">
        <v>21.1</v>
      </c>
      <c r="O76">
        <v>0.56000000000000005</v>
      </c>
      <c r="P76" s="2">
        <v>48039</v>
      </c>
      <c r="Q76" t="s">
        <v>749</v>
      </c>
      <c r="R76" t="s">
        <v>586</v>
      </c>
      <c r="S76" t="s">
        <v>36</v>
      </c>
    </row>
    <row r="77" spans="1:19" x14ac:dyDescent="0.25">
      <c r="A77">
        <v>4</v>
      </c>
      <c r="B77" t="s">
        <v>629</v>
      </c>
      <c r="C77">
        <v>38</v>
      </c>
      <c r="D77">
        <v>18</v>
      </c>
      <c r="E77">
        <v>16</v>
      </c>
      <c r="F77">
        <v>4</v>
      </c>
      <c r="G77">
        <v>53</v>
      </c>
      <c r="H77">
        <v>30</v>
      </c>
      <c r="I77">
        <v>23</v>
      </c>
      <c r="J77">
        <v>70</v>
      </c>
      <c r="K77">
        <v>1.84</v>
      </c>
      <c r="L77">
        <v>42.4</v>
      </c>
      <c r="M77">
        <v>36.9</v>
      </c>
      <c r="N77">
        <v>5.4</v>
      </c>
      <c r="O77">
        <v>0.14000000000000001</v>
      </c>
      <c r="P77" s="2">
        <v>29756</v>
      </c>
      <c r="Q77" t="s">
        <v>750</v>
      </c>
      <c r="R77" t="s">
        <v>605</v>
      </c>
      <c r="S77" t="s">
        <v>36</v>
      </c>
    </row>
    <row r="78" spans="1:19" x14ac:dyDescent="0.25">
      <c r="A78">
        <v>5</v>
      </c>
      <c r="B78" t="s">
        <v>741</v>
      </c>
      <c r="C78">
        <v>38</v>
      </c>
      <c r="D78">
        <v>19</v>
      </c>
      <c r="E78">
        <v>8</v>
      </c>
      <c r="F78">
        <v>11</v>
      </c>
      <c r="G78">
        <v>62</v>
      </c>
      <c r="H78">
        <v>40</v>
      </c>
      <c r="I78">
        <v>22</v>
      </c>
      <c r="J78">
        <v>65</v>
      </c>
      <c r="K78">
        <v>1.71</v>
      </c>
      <c r="L78">
        <v>53.5</v>
      </c>
      <c r="M78">
        <v>43.4</v>
      </c>
      <c r="N78">
        <v>10.1</v>
      </c>
      <c r="O78">
        <v>0.27</v>
      </c>
      <c r="P78" s="2">
        <v>41749</v>
      </c>
      <c r="Q78" t="s">
        <v>751</v>
      </c>
      <c r="R78" t="s">
        <v>592</v>
      </c>
      <c r="S78" t="s">
        <v>719</v>
      </c>
    </row>
    <row r="79" spans="1:19" s="55" customFormat="1" x14ac:dyDescent="0.25">
      <c r="A79" s="55">
        <v>6</v>
      </c>
      <c r="B79" s="55" t="s">
        <v>740</v>
      </c>
      <c r="C79" s="55">
        <v>38</v>
      </c>
      <c r="D79" s="55">
        <v>17</v>
      </c>
      <c r="E79" s="55">
        <v>11</v>
      </c>
      <c r="F79" s="55">
        <v>10</v>
      </c>
      <c r="G79" s="55">
        <v>40</v>
      </c>
      <c r="H79" s="55">
        <v>37</v>
      </c>
      <c r="I79" s="55">
        <v>3</v>
      </c>
      <c r="J79" s="55">
        <v>62</v>
      </c>
      <c r="K79" s="55">
        <v>1.63</v>
      </c>
      <c r="L79" s="55">
        <v>51.5</v>
      </c>
      <c r="M79" s="55">
        <v>38.700000000000003</v>
      </c>
      <c r="N79" s="55">
        <v>12.8</v>
      </c>
      <c r="O79" s="55">
        <v>0.34</v>
      </c>
      <c r="P79" s="56">
        <v>26813</v>
      </c>
      <c r="Q79" s="55" t="s">
        <v>720</v>
      </c>
      <c r="R79" s="55" t="s">
        <v>588</v>
      </c>
      <c r="S79" s="55" t="s">
        <v>40</v>
      </c>
    </row>
    <row r="80" spans="1:19" x14ac:dyDescent="0.25">
      <c r="A80">
        <v>7</v>
      </c>
      <c r="B80" t="s">
        <v>742</v>
      </c>
      <c r="C80">
        <v>38</v>
      </c>
      <c r="D80">
        <v>16</v>
      </c>
      <c r="E80">
        <v>11</v>
      </c>
      <c r="F80">
        <v>11</v>
      </c>
      <c r="G80">
        <v>63</v>
      </c>
      <c r="H80">
        <v>37</v>
      </c>
      <c r="I80">
        <v>26</v>
      </c>
      <c r="J80">
        <v>59</v>
      </c>
      <c r="K80">
        <v>1.55</v>
      </c>
      <c r="L80">
        <v>64.2</v>
      </c>
      <c r="M80">
        <v>44.8</v>
      </c>
      <c r="N80">
        <v>19.399999999999999</v>
      </c>
      <c r="O80">
        <v>0.51</v>
      </c>
      <c r="P80" s="2">
        <v>14293</v>
      </c>
      <c r="Q80" t="s">
        <v>752</v>
      </c>
      <c r="R80" t="s">
        <v>753</v>
      </c>
      <c r="S80" t="s">
        <v>595</v>
      </c>
    </row>
    <row r="81" spans="1:19" x14ac:dyDescent="0.25">
      <c r="A81">
        <v>8</v>
      </c>
      <c r="B81" t="s">
        <v>625</v>
      </c>
      <c r="C81">
        <v>38</v>
      </c>
      <c r="D81">
        <v>14</v>
      </c>
      <c r="E81">
        <v>13</v>
      </c>
      <c r="F81">
        <v>11</v>
      </c>
      <c r="G81">
        <v>43</v>
      </c>
      <c r="H81">
        <v>36</v>
      </c>
      <c r="I81">
        <v>7</v>
      </c>
      <c r="J81">
        <v>55</v>
      </c>
      <c r="K81">
        <v>1.45</v>
      </c>
      <c r="L81">
        <v>49.6</v>
      </c>
      <c r="M81">
        <v>38.4</v>
      </c>
      <c r="N81">
        <v>11.3</v>
      </c>
      <c r="O81">
        <v>0.3</v>
      </c>
      <c r="P81" s="2">
        <v>32949</v>
      </c>
      <c r="Q81" t="s">
        <v>754</v>
      </c>
      <c r="R81" t="s">
        <v>597</v>
      </c>
    </row>
    <row r="82" spans="1:19" s="53" customFormat="1" x14ac:dyDescent="0.25">
      <c r="A82" s="53">
        <v>9</v>
      </c>
      <c r="B82" s="53" t="s">
        <v>633</v>
      </c>
      <c r="C82" s="53">
        <v>38</v>
      </c>
      <c r="D82" s="53">
        <v>11</v>
      </c>
      <c r="E82" s="53">
        <v>15</v>
      </c>
      <c r="F82" s="53">
        <v>12</v>
      </c>
      <c r="G82" s="53">
        <v>48</v>
      </c>
      <c r="H82" s="53">
        <v>53</v>
      </c>
      <c r="I82" s="53">
        <v>-5</v>
      </c>
      <c r="J82" s="53">
        <v>48</v>
      </c>
      <c r="K82" s="53">
        <v>1.26</v>
      </c>
      <c r="L82" s="53">
        <v>39</v>
      </c>
      <c r="M82" s="53">
        <v>47.7</v>
      </c>
      <c r="N82" s="53">
        <v>-8.6999999999999993</v>
      </c>
      <c r="O82" s="53">
        <v>-0.23</v>
      </c>
      <c r="P82" s="54">
        <v>27349</v>
      </c>
      <c r="Q82" s="53" t="s">
        <v>755</v>
      </c>
      <c r="R82" s="53" t="s">
        <v>28</v>
      </c>
    </row>
    <row r="83" spans="1:19" x14ac:dyDescent="0.25">
      <c r="A83">
        <v>10</v>
      </c>
      <c r="B83" t="s">
        <v>624</v>
      </c>
      <c r="C83">
        <v>38</v>
      </c>
      <c r="D83">
        <v>12</v>
      </c>
      <c r="E83">
        <v>11</v>
      </c>
      <c r="F83">
        <v>15</v>
      </c>
      <c r="G83">
        <v>37</v>
      </c>
      <c r="H83">
        <v>51</v>
      </c>
      <c r="I83">
        <v>-14</v>
      </c>
      <c r="J83">
        <v>47</v>
      </c>
      <c r="K83">
        <v>1.24</v>
      </c>
      <c r="L83">
        <v>36.700000000000003</v>
      </c>
      <c r="M83">
        <v>46.3</v>
      </c>
      <c r="N83">
        <v>-9.6</v>
      </c>
      <c r="O83">
        <v>-0.25</v>
      </c>
      <c r="P83" s="2">
        <v>17107</v>
      </c>
      <c r="Q83" t="s">
        <v>756</v>
      </c>
      <c r="R83" t="s">
        <v>661</v>
      </c>
    </row>
    <row r="84" spans="1:19" x14ac:dyDescent="0.25">
      <c r="A84">
        <v>11</v>
      </c>
      <c r="B84" t="s">
        <v>630</v>
      </c>
      <c r="C84">
        <v>38</v>
      </c>
      <c r="D84">
        <v>12</v>
      </c>
      <c r="E84">
        <v>10</v>
      </c>
      <c r="F84">
        <v>16</v>
      </c>
      <c r="G84">
        <v>43</v>
      </c>
      <c r="H84">
        <v>43</v>
      </c>
      <c r="I84">
        <v>0</v>
      </c>
      <c r="J84">
        <v>46</v>
      </c>
      <c r="K84">
        <v>1.21</v>
      </c>
      <c r="L84">
        <v>43.1</v>
      </c>
      <c r="M84">
        <v>45.7</v>
      </c>
      <c r="N84">
        <v>-2.6</v>
      </c>
      <c r="O84">
        <v>-7.0000000000000007E-2</v>
      </c>
      <c r="P84" s="2">
        <v>10014</v>
      </c>
      <c r="Q84" t="s">
        <v>757</v>
      </c>
      <c r="R84" t="s">
        <v>758</v>
      </c>
    </row>
    <row r="85" spans="1:19" x14ac:dyDescent="0.25">
      <c r="A85">
        <v>12</v>
      </c>
      <c r="B85" t="s">
        <v>628</v>
      </c>
      <c r="C85">
        <v>38</v>
      </c>
      <c r="D85">
        <v>11</v>
      </c>
      <c r="E85">
        <v>9</v>
      </c>
      <c r="F85">
        <v>18</v>
      </c>
      <c r="G85">
        <v>39</v>
      </c>
      <c r="H85">
        <v>50</v>
      </c>
      <c r="I85">
        <v>-11</v>
      </c>
      <c r="J85">
        <v>42</v>
      </c>
      <c r="K85">
        <v>1.1100000000000001</v>
      </c>
      <c r="L85">
        <v>42.8</v>
      </c>
      <c r="M85">
        <v>48.4</v>
      </c>
      <c r="N85">
        <v>-5.6</v>
      </c>
      <c r="O85">
        <v>-0.15</v>
      </c>
      <c r="P85" s="2">
        <v>7866</v>
      </c>
      <c r="Q85" t="s">
        <v>759</v>
      </c>
      <c r="R85" t="s">
        <v>603</v>
      </c>
    </row>
    <row r="86" spans="1:19" x14ac:dyDescent="0.25">
      <c r="A86">
        <v>13</v>
      </c>
      <c r="B86" t="s">
        <v>637</v>
      </c>
      <c r="C86">
        <v>38</v>
      </c>
      <c r="D86">
        <v>11</v>
      </c>
      <c r="E86">
        <v>9</v>
      </c>
      <c r="F86">
        <v>18</v>
      </c>
      <c r="G86">
        <v>40</v>
      </c>
      <c r="H86">
        <v>52</v>
      </c>
      <c r="I86">
        <v>-12</v>
      </c>
      <c r="J86">
        <v>42</v>
      </c>
      <c r="K86">
        <v>1.1100000000000001</v>
      </c>
      <c r="L86">
        <v>33.700000000000003</v>
      </c>
      <c r="M86">
        <v>59.1</v>
      </c>
      <c r="N86">
        <v>-25.4</v>
      </c>
      <c r="O86">
        <v>-0.67</v>
      </c>
      <c r="P86" s="2">
        <v>15640</v>
      </c>
      <c r="Q86" t="s">
        <v>760</v>
      </c>
      <c r="R86" t="s">
        <v>621</v>
      </c>
    </row>
    <row r="87" spans="1:19" x14ac:dyDescent="0.25">
      <c r="A87">
        <v>14</v>
      </c>
      <c r="B87" t="s">
        <v>636</v>
      </c>
      <c r="C87">
        <v>38</v>
      </c>
      <c r="D87">
        <v>10</v>
      </c>
      <c r="E87">
        <v>12</v>
      </c>
      <c r="F87">
        <v>16</v>
      </c>
      <c r="G87">
        <v>40</v>
      </c>
      <c r="H87">
        <v>53</v>
      </c>
      <c r="I87">
        <v>-13</v>
      </c>
      <c r="J87">
        <v>42</v>
      </c>
      <c r="K87">
        <v>1.1100000000000001</v>
      </c>
      <c r="L87">
        <v>36.700000000000003</v>
      </c>
      <c r="M87">
        <v>51.2</v>
      </c>
      <c r="N87">
        <v>-14.5</v>
      </c>
      <c r="O87">
        <v>-0.38</v>
      </c>
      <c r="P87" s="2">
        <v>17362</v>
      </c>
      <c r="Q87" t="s">
        <v>761</v>
      </c>
      <c r="R87" t="s">
        <v>762</v>
      </c>
    </row>
    <row r="88" spans="1:19" x14ac:dyDescent="0.25">
      <c r="A88">
        <v>15</v>
      </c>
      <c r="B88" t="s">
        <v>632</v>
      </c>
      <c r="C88">
        <v>38</v>
      </c>
      <c r="D88">
        <v>8</v>
      </c>
      <c r="E88">
        <v>15</v>
      </c>
      <c r="F88">
        <v>15</v>
      </c>
      <c r="G88">
        <v>33</v>
      </c>
      <c r="H88">
        <v>41</v>
      </c>
      <c r="I88">
        <v>-8</v>
      </c>
      <c r="J88">
        <v>39</v>
      </c>
      <c r="K88">
        <v>1.03</v>
      </c>
      <c r="L88">
        <v>29.3</v>
      </c>
      <c r="M88">
        <v>38.6</v>
      </c>
      <c r="N88">
        <v>-9.3000000000000007</v>
      </c>
      <c r="O88">
        <v>-0.25</v>
      </c>
      <c r="P88" s="2">
        <v>8702</v>
      </c>
      <c r="Q88" t="s">
        <v>763</v>
      </c>
      <c r="R88" t="s">
        <v>611</v>
      </c>
    </row>
    <row r="89" spans="1:19" x14ac:dyDescent="0.25">
      <c r="A89">
        <v>16</v>
      </c>
      <c r="B89" t="s">
        <v>626</v>
      </c>
      <c r="C89">
        <v>38</v>
      </c>
      <c r="D89">
        <v>10</v>
      </c>
      <c r="E89">
        <v>9</v>
      </c>
      <c r="F89">
        <v>19</v>
      </c>
      <c r="G89">
        <v>36</v>
      </c>
      <c r="H89">
        <v>63</v>
      </c>
      <c r="I89">
        <v>-27</v>
      </c>
      <c r="J89">
        <v>39</v>
      </c>
      <c r="K89">
        <v>1.03</v>
      </c>
      <c r="L89">
        <v>38.799999999999997</v>
      </c>
      <c r="M89">
        <v>49.3</v>
      </c>
      <c r="N89">
        <v>-10.5</v>
      </c>
      <c r="O89">
        <v>-0.28000000000000003</v>
      </c>
      <c r="P89" s="2">
        <v>12712</v>
      </c>
      <c r="Q89" t="s">
        <v>764</v>
      </c>
      <c r="R89" t="s">
        <v>765</v>
      </c>
    </row>
    <row r="90" spans="1:19" x14ac:dyDescent="0.25">
      <c r="A90">
        <v>17</v>
      </c>
      <c r="B90" t="s">
        <v>631</v>
      </c>
      <c r="C90">
        <v>38</v>
      </c>
      <c r="D90">
        <v>8</v>
      </c>
      <c r="E90">
        <v>15</v>
      </c>
      <c r="F90">
        <v>15</v>
      </c>
      <c r="G90">
        <v>35</v>
      </c>
      <c r="H90">
        <v>51</v>
      </c>
      <c r="I90">
        <v>-16</v>
      </c>
      <c r="J90">
        <v>39</v>
      </c>
      <c r="K90">
        <v>1.03</v>
      </c>
      <c r="L90">
        <v>39.5</v>
      </c>
      <c r="M90">
        <v>48.3</v>
      </c>
      <c r="N90">
        <v>-8.6999999999999993</v>
      </c>
      <c r="O90">
        <v>-0.23</v>
      </c>
      <c r="P90" s="2">
        <v>14055</v>
      </c>
      <c r="Q90" t="s">
        <v>766</v>
      </c>
      <c r="R90" t="s">
        <v>609</v>
      </c>
    </row>
    <row r="91" spans="1:19" x14ac:dyDescent="0.25">
      <c r="A91">
        <v>18</v>
      </c>
      <c r="B91" t="s">
        <v>745</v>
      </c>
      <c r="C91">
        <v>38</v>
      </c>
      <c r="D91">
        <v>8</v>
      </c>
      <c r="E91">
        <v>14</v>
      </c>
      <c r="F91">
        <v>16</v>
      </c>
      <c r="G91">
        <v>44</v>
      </c>
      <c r="H91">
        <v>61</v>
      </c>
      <c r="I91">
        <v>-17</v>
      </c>
      <c r="J91">
        <v>38</v>
      </c>
      <c r="K91">
        <v>1</v>
      </c>
      <c r="L91">
        <v>39</v>
      </c>
      <c r="M91">
        <v>61.2</v>
      </c>
      <c r="N91">
        <v>-22.2</v>
      </c>
      <c r="O91">
        <v>-0.59</v>
      </c>
      <c r="P91" s="2">
        <v>13710</v>
      </c>
      <c r="Q91" t="s">
        <v>767</v>
      </c>
      <c r="R91" t="s">
        <v>735</v>
      </c>
      <c r="S91" t="s">
        <v>617</v>
      </c>
    </row>
    <row r="92" spans="1:19" x14ac:dyDescent="0.25">
      <c r="A92">
        <v>19</v>
      </c>
      <c r="B92" t="s">
        <v>771</v>
      </c>
      <c r="C92">
        <v>38</v>
      </c>
      <c r="D92">
        <v>8</v>
      </c>
      <c r="E92">
        <v>11</v>
      </c>
      <c r="F92">
        <v>19</v>
      </c>
      <c r="G92">
        <v>51</v>
      </c>
      <c r="H92">
        <v>76</v>
      </c>
      <c r="I92">
        <v>-25</v>
      </c>
      <c r="J92">
        <v>35</v>
      </c>
      <c r="K92">
        <v>0.92</v>
      </c>
      <c r="L92">
        <v>55.1</v>
      </c>
      <c r="M92">
        <v>55</v>
      </c>
      <c r="N92">
        <v>0.1</v>
      </c>
      <c r="O92">
        <v>0</v>
      </c>
      <c r="P92" s="2">
        <v>14961</v>
      </c>
      <c r="Q92" t="s">
        <v>768</v>
      </c>
      <c r="R92" t="s">
        <v>769</v>
      </c>
      <c r="S92" t="s">
        <v>617</v>
      </c>
    </row>
    <row r="93" spans="1:19" x14ac:dyDescent="0.25">
      <c r="A93">
        <v>20</v>
      </c>
      <c r="B93" t="s">
        <v>743</v>
      </c>
      <c r="C93">
        <v>38</v>
      </c>
      <c r="D93">
        <v>8</v>
      </c>
      <c r="E93">
        <v>7</v>
      </c>
      <c r="F93">
        <v>23</v>
      </c>
      <c r="G93">
        <v>31</v>
      </c>
      <c r="H93">
        <v>65</v>
      </c>
      <c r="I93">
        <v>-34</v>
      </c>
      <c r="J93">
        <v>31</v>
      </c>
      <c r="K93">
        <v>0.82</v>
      </c>
      <c r="L93">
        <v>37.299999999999997</v>
      </c>
      <c r="M93">
        <v>57</v>
      </c>
      <c r="N93">
        <v>-19.7</v>
      </c>
      <c r="O93">
        <v>-0.52</v>
      </c>
      <c r="P93" s="2">
        <v>10952</v>
      </c>
      <c r="Q93" t="s">
        <v>770</v>
      </c>
      <c r="R93" t="s">
        <v>619</v>
      </c>
    </row>
    <row r="95" spans="1:19" s="36" customFormat="1" x14ac:dyDescent="0.25">
      <c r="A95" s="36" t="s">
        <v>772</v>
      </c>
    </row>
    <row r="97" spans="1:19" x14ac:dyDescent="0.25">
      <c r="A97" t="s">
        <v>577</v>
      </c>
      <c r="B97" t="s">
        <v>15</v>
      </c>
      <c r="C97" t="s">
        <v>17</v>
      </c>
      <c r="D97" t="s">
        <v>18</v>
      </c>
      <c r="E97" t="s">
        <v>4</v>
      </c>
      <c r="F97" t="s">
        <v>19</v>
      </c>
      <c r="G97" t="s">
        <v>20</v>
      </c>
      <c r="H97" t="s">
        <v>21</v>
      </c>
      <c r="I97" t="s">
        <v>22</v>
      </c>
      <c r="J97" t="s">
        <v>23</v>
      </c>
      <c r="K97" t="s">
        <v>578</v>
      </c>
      <c r="L97" t="s">
        <v>55</v>
      </c>
      <c r="M97" t="s">
        <v>56</v>
      </c>
      <c r="N97" t="s">
        <v>579</v>
      </c>
      <c r="O97" t="s">
        <v>580</v>
      </c>
      <c r="P97" t="s">
        <v>24</v>
      </c>
      <c r="Q97" t="s">
        <v>25</v>
      </c>
      <c r="R97" t="s">
        <v>26</v>
      </c>
      <c r="S97" t="s">
        <v>27</v>
      </c>
    </row>
    <row r="98" spans="1:19" x14ac:dyDescent="0.25">
      <c r="A98">
        <v>1</v>
      </c>
      <c r="B98" t="s">
        <v>739</v>
      </c>
      <c r="C98">
        <v>38</v>
      </c>
      <c r="D98">
        <v>26</v>
      </c>
      <c r="E98">
        <v>8</v>
      </c>
      <c r="F98">
        <v>4</v>
      </c>
      <c r="G98">
        <v>67</v>
      </c>
      <c r="H98">
        <v>25</v>
      </c>
      <c r="I98">
        <v>42</v>
      </c>
      <c r="J98">
        <v>86</v>
      </c>
      <c r="K98">
        <v>2.2599999999999998</v>
      </c>
      <c r="L98">
        <v>52.8</v>
      </c>
      <c r="M98">
        <v>37.1</v>
      </c>
      <c r="N98">
        <v>15.7</v>
      </c>
      <c r="O98">
        <v>0.41</v>
      </c>
      <c r="Q98" t="s">
        <v>773</v>
      </c>
      <c r="R98" t="s">
        <v>586</v>
      </c>
      <c r="S98" t="s">
        <v>36</v>
      </c>
    </row>
    <row r="99" spans="1:19" x14ac:dyDescent="0.25">
      <c r="A99">
        <v>2</v>
      </c>
      <c r="B99" t="s">
        <v>738</v>
      </c>
      <c r="C99">
        <v>38</v>
      </c>
      <c r="D99">
        <v>25</v>
      </c>
      <c r="E99">
        <v>9</v>
      </c>
      <c r="F99">
        <v>4</v>
      </c>
      <c r="G99">
        <v>67</v>
      </c>
      <c r="H99">
        <v>28</v>
      </c>
      <c r="I99">
        <v>39</v>
      </c>
      <c r="J99">
        <v>84</v>
      </c>
      <c r="K99">
        <v>2.21</v>
      </c>
      <c r="L99">
        <v>61.5</v>
      </c>
      <c r="M99">
        <v>37.6</v>
      </c>
      <c r="N99">
        <v>23.9</v>
      </c>
      <c r="O99">
        <v>0.63</v>
      </c>
      <c r="Q99" t="s">
        <v>774</v>
      </c>
      <c r="R99" t="s">
        <v>584</v>
      </c>
      <c r="S99" t="s">
        <v>36</v>
      </c>
    </row>
    <row r="100" spans="1:19" x14ac:dyDescent="0.25">
      <c r="A100">
        <v>3</v>
      </c>
      <c r="B100" t="s">
        <v>693</v>
      </c>
      <c r="C100">
        <v>38</v>
      </c>
      <c r="D100">
        <v>24</v>
      </c>
      <c r="E100">
        <v>7</v>
      </c>
      <c r="F100">
        <v>7</v>
      </c>
      <c r="G100">
        <v>85</v>
      </c>
      <c r="H100">
        <v>38</v>
      </c>
      <c r="I100">
        <v>47</v>
      </c>
      <c r="J100">
        <v>79</v>
      </c>
      <c r="K100">
        <v>2.08</v>
      </c>
      <c r="L100">
        <v>73.5</v>
      </c>
      <c r="M100">
        <v>40.799999999999997</v>
      </c>
      <c r="N100">
        <v>32.700000000000003</v>
      </c>
      <c r="O100">
        <v>0.86</v>
      </c>
      <c r="Q100" t="s">
        <v>775</v>
      </c>
      <c r="R100" t="s">
        <v>582</v>
      </c>
      <c r="S100" t="s">
        <v>36</v>
      </c>
    </row>
    <row r="101" spans="1:19" x14ac:dyDescent="0.25">
      <c r="A101">
        <v>4</v>
      </c>
      <c r="B101" t="s">
        <v>629</v>
      </c>
      <c r="C101">
        <v>38</v>
      </c>
      <c r="D101">
        <v>24</v>
      </c>
      <c r="E101">
        <v>5</v>
      </c>
      <c r="F101">
        <v>9</v>
      </c>
      <c r="G101">
        <v>53</v>
      </c>
      <c r="H101">
        <v>33</v>
      </c>
      <c r="I101">
        <v>20</v>
      </c>
      <c r="J101">
        <v>77</v>
      </c>
      <c r="K101">
        <v>2.0299999999999998</v>
      </c>
      <c r="L101">
        <v>54.4</v>
      </c>
      <c r="M101">
        <v>34.799999999999997</v>
      </c>
      <c r="N101">
        <v>19.600000000000001</v>
      </c>
      <c r="O101">
        <v>0.52</v>
      </c>
      <c r="Q101" t="s">
        <v>776</v>
      </c>
      <c r="R101" t="s">
        <v>605</v>
      </c>
      <c r="S101" t="s">
        <v>36</v>
      </c>
    </row>
    <row r="102" spans="1:19" s="55" customFormat="1" x14ac:dyDescent="0.25">
      <c r="A102" s="55">
        <v>5</v>
      </c>
      <c r="B102" s="55" t="s">
        <v>740</v>
      </c>
      <c r="C102" s="55">
        <v>38</v>
      </c>
      <c r="D102" s="55">
        <v>17</v>
      </c>
      <c r="E102" s="55">
        <v>11</v>
      </c>
      <c r="F102" s="55">
        <v>10</v>
      </c>
      <c r="G102" s="55">
        <v>59</v>
      </c>
      <c r="H102" s="55">
        <v>38</v>
      </c>
      <c r="I102" s="55">
        <v>21</v>
      </c>
      <c r="J102" s="55">
        <v>62</v>
      </c>
      <c r="K102" s="55">
        <v>1.63</v>
      </c>
      <c r="L102" s="55">
        <v>60.7</v>
      </c>
      <c r="M102" s="55">
        <v>39.200000000000003</v>
      </c>
      <c r="N102" s="55">
        <v>21.5</v>
      </c>
      <c r="O102" s="55">
        <v>0.56999999999999995</v>
      </c>
      <c r="Q102" s="55" t="s">
        <v>777</v>
      </c>
      <c r="R102" s="55" t="s">
        <v>588</v>
      </c>
      <c r="S102" s="55" t="s">
        <v>40</v>
      </c>
    </row>
    <row r="103" spans="1:19" x14ac:dyDescent="0.25">
      <c r="A103">
        <v>6</v>
      </c>
      <c r="B103" t="s">
        <v>741</v>
      </c>
      <c r="C103">
        <v>38</v>
      </c>
      <c r="D103">
        <v>17</v>
      </c>
      <c r="E103">
        <v>10</v>
      </c>
      <c r="F103">
        <v>11</v>
      </c>
      <c r="G103">
        <v>50</v>
      </c>
      <c r="H103">
        <v>50</v>
      </c>
      <c r="I103">
        <v>0</v>
      </c>
      <c r="J103">
        <v>61</v>
      </c>
      <c r="K103">
        <v>1.61</v>
      </c>
      <c r="L103">
        <v>49.1</v>
      </c>
      <c r="M103">
        <v>46.8</v>
      </c>
      <c r="N103">
        <v>2.2000000000000002</v>
      </c>
      <c r="O103">
        <v>0.06</v>
      </c>
      <c r="Q103" t="s">
        <v>778</v>
      </c>
      <c r="R103" t="s">
        <v>779</v>
      </c>
      <c r="S103" t="s">
        <v>780</v>
      </c>
    </row>
    <row r="104" spans="1:19" x14ac:dyDescent="0.25">
      <c r="A104">
        <v>7</v>
      </c>
      <c r="B104" t="s">
        <v>742</v>
      </c>
      <c r="C104">
        <v>38</v>
      </c>
      <c r="D104">
        <v>15</v>
      </c>
      <c r="E104">
        <v>13</v>
      </c>
      <c r="F104">
        <v>10</v>
      </c>
      <c r="G104">
        <v>60</v>
      </c>
      <c r="H104">
        <v>44</v>
      </c>
      <c r="I104">
        <v>16</v>
      </c>
      <c r="J104">
        <v>58</v>
      </c>
      <c r="K104">
        <v>1.53</v>
      </c>
      <c r="L104">
        <v>56.4</v>
      </c>
      <c r="M104">
        <v>42.5</v>
      </c>
      <c r="N104">
        <v>13.9</v>
      </c>
      <c r="O104">
        <v>0.37</v>
      </c>
      <c r="P104">
        <v>253</v>
      </c>
      <c r="Q104" t="s">
        <v>781</v>
      </c>
      <c r="R104" t="s">
        <v>782</v>
      </c>
    </row>
    <row r="105" spans="1:19" x14ac:dyDescent="0.25">
      <c r="A105">
        <v>8</v>
      </c>
      <c r="B105" t="s">
        <v>630</v>
      </c>
      <c r="C105">
        <v>38</v>
      </c>
      <c r="D105">
        <v>14</v>
      </c>
      <c r="E105">
        <v>11</v>
      </c>
      <c r="F105">
        <v>13</v>
      </c>
      <c r="G105">
        <v>55</v>
      </c>
      <c r="H105">
        <v>57</v>
      </c>
      <c r="I105">
        <v>-2</v>
      </c>
      <c r="J105">
        <v>53</v>
      </c>
      <c r="K105">
        <v>1.39</v>
      </c>
      <c r="L105">
        <v>50.4</v>
      </c>
      <c r="M105">
        <v>51</v>
      </c>
      <c r="N105">
        <v>-0.6</v>
      </c>
      <c r="O105">
        <v>-0.02</v>
      </c>
      <c r="P105">
        <v>91</v>
      </c>
      <c r="Q105" t="s">
        <v>783</v>
      </c>
      <c r="R105" t="s">
        <v>784</v>
      </c>
    </row>
    <row r="106" spans="1:19" x14ac:dyDescent="0.25">
      <c r="A106">
        <v>9</v>
      </c>
      <c r="B106" t="s">
        <v>745</v>
      </c>
      <c r="C106">
        <v>38</v>
      </c>
      <c r="D106">
        <v>13</v>
      </c>
      <c r="E106">
        <v>7</v>
      </c>
      <c r="F106">
        <v>18</v>
      </c>
      <c r="G106">
        <v>47</v>
      </c>
      <c r="H106">
        <v>65</v>
      </c>
      <c r="I106">
        <v>-18</v>
      </c>
      <c r="J106">
        <v>46</v>
      </c>
      <c r="K106">
        <v>1.21</v>
      </c>
      <c r="L106">
        <v>41.1</v>
      </c>
      <c r="M106">
        <v>56.2</v>
      </c>
      <c r="N106">
        <v>-15</v>
      </c>
      <c r="O106">
        <v>-0.4</v>
      </c>
      <c r="Q106" t="s">
        <v>785</v>
      </c>
      <c r="R106" t="s">
        <v>592</v>
      </c>
    </row>
    <row r="107" spans="1:19" x14ac:dyDescent="0.25">
      <c r="A107">
        <v>10</v>
      </c>
      <c r="B107" t="s">
        <v>625</v>
      </c>
      <c r="C107">
        <v>38</v>
      </c>
      <c r="D107">
        <v>11</v>
      </c>
      <c r="E107">
        <v>13</v>
      </c>
      <c r="F107">
        <v>14</v>
      </c>
      <c r="G107">
        <v>46</v>
      </c>
      <c r="H107">
        <v>42</v>
      </c>
      <c r="I107">
        <v>4</v>
      </c>
      <c r="J107">
        <v>46</v>
      </c>
      <c r="K107">
        <v>1.21</v>
      </c>
      <c r="L107">
        <v>43.1</v>
      </c>
      <c r="M107">
        <v>37.700000000000003</v>
      </c>
      <c r="N107">
        <v>5.4</v>
      </c>
      <c r="O107">
        <v>0.14000000000000001</v>
      </c>
      <c r="Q107" t="s">
        <v>786</v>
      </c>
      <c r="R107" t="s">
        <v>597</v>
      </c>
    </row>
    <row r="108" spans="1:19" x14ac:dyDescent="0.25">
      <c r="A108">
        <v>11</v>
      </c>
      <c r="B108" t="s">
        <v>624</v>
      </c>
      <c r="C108">
        <v>38</v>
      </c>
      <c r="D108">
        <v>11</v>
      </c>
      <c r="E108">
        <v>11</v>
      </c>
      <c r="F108">
        <v>16</v>
      </c>
      <c r="G108">
        <v>37</v>
      </c>
      <c r="H108">
        <v>48</v>
      </c>
      <c r="I108">
        <v>-11</v>
      </c>
      <c r="J108">
        <v>44</v>
      </c>
      <c r="K108">
        <v>1.1599999999999999</v>
      </c>
      <c r="L108">
        <v>38.700000000000003</v>
      </c>
      <c r="M108">
        <v>47.8</v>
      </c>
      <c r="N108">
        <v>-9</v>
      </c>
      <c r="O108">
        <v>-0.24</v>
      </c>
      <c r="Q108" t="s">
        <v>787</v>
      </c>
      <c r="R108" t="s">
        <v>661</v>
      </c>
    </row>
    <row r="109" spans="1:19" x14ac:dyDescent="0.25">
      <c r="A109">
        <v>12</v>
      </c>
      <c r="B109" t="s">
        <v>631</v>
      </c>
      <c r="C109">
        <v>38</v>
      </c>
      <c r="D109">
        <v>11</v>
      </c>
      <c r="E109">
        <v>11</v>
      </c>
      <c r="F109">
        <v>16</v>
      </c>
      <c r="G109">
        <v>36</v>
      </c>
      <c r="H109">
        <v>58</v>
      </c>
      <c r="I109">
        <v>-22</v>
      </c>
      <c r="J109">
        <v>44</v>
      </c>
      <c r="K109">
        <v>1.1599999999999999</v>
      </c>
      <c r="L109">
        <v>34.700000000000003</v>
      </c>
      <c r="M109">
        <v>55.4</v>
      </c>
      <c r="N109">
        <v>-20.7</v>
      </c>
      <c r="O109">
        <v>-0.54</v>
      </c>
      <c r="Q109" t="s">
        <v>788</v>
      </c>
      <c r="R109" t="s">
        <v>609</v>
      </c>
    </row>
    <row r="110" spans="1:19" s="53" customFormat="1" x14ac:dyDescent="0.25">
      <c r="A110" s="53">
        <v>13</v>
      </c>
      <c r="B110" s="53" t="s">
        <v>633</v>
      </c>
      <c r="C110" s="53">
        <v>38</v>
      </c>
      <c r="D110" s="53">
        <v>10</v>
      </c>
      <c r="E110" s="53">
        <v>13</v>
      </c>
      <c r="F110" s="53">
        <v>15</v>
      </c>
      <c r="G110" s="53">
        <v>50</v>
      </c>
      <c r="H110" s="53">
        <v>53</v>
      </c>
      <c r="I110" s="53">
        <v>-3</v>
      </c>
      <c r="J110" s="53">
        <v>43</v>
      </c>
      <c r="K110" s="53">
        <v>1.1299999999999999</v>
      </c>
      <c r="L110" s="53">
        <v>42.6</v>
      </c>
      <c r="M110" s="53">
        <v>52.2</v>
      </c>
      <c r="N110" s="53">
        <v>-9.6</v>
      </c>
      <c r="O110" s="53">
        <v>-0.25</v>
      </c>
      <c r="P110" s="53">
        <v>142</v>
      </c>
      <c r="Q110" s="53" t="s">
        <v>30</v>
      </c>
      <c r="R110" s="53" t="s">
        <v>31</v>
      </c>
    </row>
    <row r="111" spans="1:19" x14ac:dyDescent="0.25">
      <c r="A111">
        <v>14</v>
      </c>
      <c r="B111" t="s">
        <v>771</v>
      </c>
      <c r="C111">
        <v>38</v>
      </c>
      <c r="D111">
        <v>9</v>
      </c>
      <c r="E111">
        <v>14</v>
      </c>
      <c r="F111">
        <v>15</v>
      </c>
      <c r="G111">
        <v>46</v>
      </c>
      <c r="H111">
        <v>57</v>
      </c>
      <c r="I111">
        <v>-11</v>
      </c>
      <c r="J111">
        <v>41</v>
      </c>
      <c r="K111">
        <v>1.08</v>
      </c>
      <c r="L111">
        <v>40.4</v>
      </c>
      <c r="M111">
        <v>53.4</v>
      </c>
      <c r="N111">
        <v>-13</v>
      </c>
      <c r="O111">
        <v>-0.34</v>
      </c>
      <c r="Q111" t="s">
        <v>768</v>
      </c>
      <c r="R111" t="s">
        <v>594</v>
      </c>
    </row>
    <row r="112" spans="1:19" x14ac:dyDescent="0.25">
      <c r="A112">
        <v>15</v>
      </c>
      <c r="B112" t="s">
        <v>632</v>
      </c>
      <c r="C112">
        <v>38</v>
      </c>
      <c r="D112">
        <v>9</v>
      </c>
      <c r="E112">
        <v>11</v>
      </c>
      <c r="F112">
        <v>18</v>
      </c>
      <c r="G112">
        <v>28</v>
      </c>
      <c r="H112">
        <v>43</v>
      </c>
      <c r="I112">
        <v>-15</v>
      </c>
      <c r="J112">
        <v>38</v>
      </c>
      <c r="K112">
        <v>1</v>
      </c>
      <c r="L112">
        <v>34.4</v>
      </c>
      <c r="M112">
        <v>40.299999999999997</v>
      </c>
      <c r="N112">
        <v>-5.9</v>
      </c>
      <c r="O112">
        <v>-0.16</v>
      </c>
      <c r="Q112" t="s">
        <v>789</v>
      </c>
      <c r="R112" t="s">
        <v>611</v>
      </c>
    </row>
    <row r="113" spans="1:19" x14ac:dyDescent="0.25">
      <c r="A113">
        <v>16</v>
      </c>
      <c r="B113" t="s">
        <v>743</v>
      </c>
      <c r="C113">
        <v>38</v>
      </c>
      <c r="D113">
        <v>9</v>
      </c>
      <c r="E113">
        <v>11</v>
      </c>
      <c r="F113">
        <v>18</v>
      </c>
      <c r="G113">
        <v>36</v>
      </c>
      <c r="H113">
        <v>57</v>
      </c>
      <c r="I113">
        <v>-21</v>
      </c>
      <c r="J113">
        <v>38</v>
      </c>
      <c r="K113">
        <v>1</v>
      </c>
      <c r="L113">
        <v>42.6</v>
      </c>
      <c r="M113">
        <v>49.9</v>
      </c>
      <c r="N113">
        <v>-7.3</v>
      </c>
      <c r="O113">
        <v>-0.19</v>
      </c>
      <c r="Q113" t="s">
        <v>790</v>
      </c>
      <c r="R113" t="s">
        <v>619</v>
      </c>
    </row>
    <row r="114" spans="1:19" x14ac:dyDescent="0.25">
      <c r="A114">
        <v>17</v>
      </c>
      <c r="B114" t="s">
        <v>637</v>
      </c>
      <c r="C114">
        <v>38</v>
      </c>
      <c r="D114">
        <v>8</v>
      </c>
      <c r="E114">
        <v>12</v>
      </c>
      <c r="F114">
        <v>18</v>
      </c>
      <c r="G114">
        <v>34</v>
      </c>
      <c r="H114">
        <v>55</v>
      </c>
      <c r="I114">
        <v>-21</v>
      </c>
      <c r="J114">
        <v>36</v>
      </c>
      <c r="K114">
        <v>0.95</v>
      </c>
      <c r="L114">
        <v>29.9</v>
      </c>
      <c r="M114">
        <v>60.9</v>
      </c>
      <c r="N114">
        <v>-31</v>
      </c>
      <c r="O114">
        <v>-0.82</v>
      </c>
      <c r="P114">
        <v>185</v>
      </c>
      <c r="Q114" t="s">
        <v>620</v>
      </c>
      <c r="R114" t="s">
        <v>621</v>
      </c>
    </row>
    <row r="115" spans="1:19" x14ac:dyDescent="0.25">
      <c r="A115">
        <v>18</v>
      </c>
      <c r="B115" t="s">
        <v>797</v>
      </c>
      <c r="C115">
        <v>38</v>
      </c>
      <c r="D115">
        <v>7</v>
      </c>
      <c r="E115">
        <v>13</v>
      </c>
      <c r="F115">
        <v>18</v>
      </c>
      <c r="G115">
        <v>34</v>
      </c>
      <c r="H115">
        <v>53</v>
      </c>
      <c r="I115">
        <v>-19</v>
      </c>
      <c r="J115">
        <v>34</v>
      </c>
      <c r="K115">
        <v>0.89</v>
      </c>
      <c r="L115">
        <v>38.9</v>
      </c>
      <c r="M115">
        <v>48.4</v>
      </c>
      <c r="N115">
        <v>-9.5</v>
      </c>
      <c r="O115">
        <v>-0.25</v>
      </c>
      <c r="Q115" t="s">
        <v>791</v>
      </c>
      <c r="R115" t="s">
        <v>792</v>
      </c>
      <c r="S115" t="s">
        <v>617</v>
      </c>
    </row>
    <row r="116" spans="1:19" x14ac:dyDescent="0.25">
      <c r="A116">
        <v>19</v>
      </c>
      <c r="B116" t="s">
        <v>635</v>
      </c>
      <c r="C116">
        <v>38</v>
      </c>
      <c r="D116">
        <v>5</v>
      </c>
      <c r="E116">
        <v>16</v>
      </c>
      <c r="F116">
        <v>17</v>
      </c>
      <c r="G116">
        <v>34</v>
      </c>
      <c r="H116">
        <v>57</v>
      </c>
      <c r="I116">
        <v>-23</v>
      </c>
      <c r="J116">
        <v>31</v>
      </c>
      <c r="K116">
        <v>0.82</v>
      </c>
      <c r="L116">
        <v>40.1</v>
      </c>
      <c r="M116">
        <v>52.9</v>
      </c>
      <c r="N116">
        <v>-12.8</v>
      </c>
      <c r="O116">
        <v>-0.34</v>
      </c>
      <c r="Q116" t="s">
        <v>793</v>
      </c>
      <c r="R116" t="s">
        <v>616</v>
      </c>
      <c r="S116" t="s">
        <v>617</v>
      </c>
    </row>
    <row r="117" spans="1:19" x14ac:dyDescent="0.25">
      <c r="A117">
        <v>20</v>
      </c>
      <c r="B117" t="s">
        <v>798</v>
      </c>
      <c r="C117">
        <v>38</v>
      </c>
      <c r="D117">
        <v>6</v>
      </c>
      <c r="E117">
        <v>12</v>
      </c>
      <c r="F117">
        <v>20</v>
      </c>
      <c r="G117">
        <v>29</v>
      </c>
      <c r="H117">
        <v>52</v>
      </c>
      <c r="I117">
        <v>-23</v>
      </c>
      <c r="J117">
        <v>30</v>
      </c>
      <c r="K117">
        <v>0.79</v>
      </c>
      <c r="L117">
        <v>45.2</v>
      </c>
      <c r="M117">
        <v>45.7</v>
      </c>
      <c r="N117">
        <v>-0.5</v>
      </c>
      <c r="O117">
        <v>-0.01</v>
      </c>
      <c r="Q117" t="s">
        <v>794</v>
      </c>
      <c r="R117" t="s">
        <v>795</v>
      </c>
      <c r="S117" t="s">
        <v>796</v>
      </c>
    </row>
    <row r="119" spans="1:19" s="36" customFormat="1" x14ac:dyDescent="0.25">
      <c r="A119" s="36" t="s">
        <v>799</v>
      </c>
    </row>
    <row r="121" spans="1:19" x14ac:dyDescent="0.25">
      <c r="A121" t="s">
        <v>577</v>
      </c>
      <c r="B121" t="s">
        <v>15</v>
      </c>
      <c r="C121" t="s">
        <v>17</v>
      </c>
      <c r="D121" t="s">
        <v>18</v>
      </c>
      <c r="E121" t="s">
        <v>4</v>
      </c>
      <c r="F121" t="s">
        <v>19</v>
      </c>
      <c r="G121" t="s">
        <v>20</v>
      </c>
      <c r="H121" t="s">
        <v>21</v>
      </c>
      <c r="I121" t="s">
        <v>22</v>
      </c>
      <c r="J121" t="s">
        <v>23</v>
      </c>
      <c r="K121" t="s">
        <v>578</v>
      </c>
      <c r="L121" t="s">
        <v>55</v>
      </c>
      <c r="M121" t="s">
        <v>56</v>
      </c>
      <c r="N121" t="s">
        <v>579</v>
      </c>
      <c r="O121" t="s">
        <v>580</v>
      </c>
      <c r="P121" t="s">
        <v>24</v>
      </c>
      <c r="Q121" t="s">
        <v>25</v>
      </c>
      <c r="R121" t="s">
        <v>26</v>
      </c>
      <c r="S121" t="s">
        <v>27</v>
      </c>
    </row>
    <row r="122" spans="1:19" x14ac:dyDescent="0.25">
      <c r="A122">
        <v>1</v>
      </c>
      <c r="B122" t="s">
        <v>926</v>
      </c>
      <c r="C122">
        <v>38</v>
      </c>
      <c r="D122">
        <v>26</v>
      </c>
      <c r="E122">
        <v>9</v>
      </c>
      <c r="F122">
        <v>3</v>
      </c>
      <c r="G122">
        <v>70</v>
      </c>
      <c r="H122">
        <v>25</v>
      </c>
      <c r="I122">
        <v>45</v>
      </c>
      <c r="J122">
        <v>87</v>
      </c>
      <c r="K122">
        <v>2.29</v>
      </c>
      <c r="L122">
        <v>67.900000000000006</v>
      </c>
      <c r="M122">
        <v>33.299999999999997</v>
      </c>
      <c r="N122">
        <v>34.6</v>
      </c>
      <c r="O122">
        <v>0.91</v>
      </c>
      <c r="P122" s="2">
        <v>45833</v>
      </c>
      <c r="Q122" t="s">
        <v>800</v>
      </c>
      <c r="R122" t="s">
        <v>584</v>
      </c>
      <c r="S122" t="s">
        <v>36</v>
      </c>
    </row>
    <row r="123" spans="1:19" x14ac:dyDescent="0.25">
      <c r="A123">
        <v>2</v>
      </c>
      <c r="B123" t="s">
        <v>927</v>
      </c>
      <c r="C123">
        <v>38</v>
      </c>
      <c r="D123">
        <v>25</v>
      </c>
      <c r="E123">
        <v>7</v>
      </c>
      <c r="F123">
        <v>6</v>
      </c>
      <c r="G123">
        <v>86</v>
      </c>
      <c r="H123">
        <v>38</v>
      </c>
      <c r="I123">
        <v>48</v>
      </c>
      <c r="J123">
        <v>82</v>
      </c>
      <c r="K123">
        <v>2.16</v>
      </c>
      <c r="L123">
        <v>66.3</v>
      </c>
      <c r="M123">
        <v>38.299999999999997</v>
      </c>
      <c r="N123">
        <v>28</v>
      </c>
      <c r="O123">
        <v>0.74</v>
      </c>
      <c r="P123" s="2">
        <v>54223</v>
      </c>
      <c r="Q123" t="s">
        <v>801</v>
      </c>
      <c r="R123" t="s">
        <v>582</v>
      </c>
      <c r="S123" t="s">
        <v>36</v>
      </c>
    </row>
    <row r="124" spans="1:19" x14ac:dyDescent="0.25">
      <c r="A124">
        <v>3</v>
      </c>
      <c r="B124" t="s">
        <v>928</v>
      </c>
      <c r="C124">
        <v>38</v>
      </c>
      <c r="D124">
        <v>18</v>
      </c>
      <c r="E124">
        <v>16</v>
      </c>
      <c r="F124">
        <v>4</v>
      </c>
      <c r="G124">
        <v>51</v>
      </c>
      <c r="H124">
        <v>27</v>
      </c>
      <c r="I124">
        <v>24</v>
      </c>
      <c r="J124">
        <v>70</v>
      </c>
      <c r="K124">
        <v>1.84</v>
      </c>
      <c r="L124">
        <v>56.8</v>
      </c>
      <c r="M124">
        <v>32.5</v>
      </c>
      <c r="N124">
        <v>24.4</v>
      </c>
      <c r="O124">
        <v>0.64</v>
      </c>
      <c r="P124" s="2">
        <v>42236</v>
      </c>
      <c r="Q124" t="s">
        <v>802</v>
      </c>
      <c r="R124" t="s">
        <v>586</v>
      </c>
      <c r="S124" t="s">
        <v>36</v>
      </c>
    </row>
    <row r="125" spans="1:19" x14ac:dyDescent="0.25">
      <c r="A125">
        <v>4</v>
      </c>
      <c r="B125" t="s">
        <v>929</v>
      </c>
      <c r="C125">
        <v>38</v>
      </c>
      <c r="D125">
        <v>19</v>
      </c>
      <c r="E125">
        <v>13</v>
      </c>
      <c r="F125">
        <v>6</v>
      </c>
      <c r="G125">
        <v>54</v>
      </c>
      <c r="H125">
        <v>34</v>
      </c>
      <c r="I125">
        <v>20</v>
      </c>
      <c r="J125">
        <v>70</v>
      </c>
      <c r="K125">
        <v>1.84</v>
      </c>
      <c r="L125">
        <v>53.2</v>
      </c>
      <c r="M125">
        <v>36.1</v>
      </c>
      <c r="N125">
        <v>17.100000000000001</v>
      </c>
      <c r="O125">
        <v>0.45</v>
      </c>
      <c r="P125" s="2">
        <v>25016</v>
      </c>
      <c r="Q125" t="s">
        <v>803</v>
      </c>
      <c r="R125" t="s">
        <v>804</v>
      </c>
      <c r="S125" t="s">
        <v>36</v>
      </c>
    </row>
    <row r="126" spans="1:19" x14ac:dyDescent="0.25">
      <c r="A126">
        <v>5</v>
      </c>
      <c r="B126" t="s">
        <v>930</v>
      </c>
      <c r="C126">
        <v>38</v>
      </c>
      <c r="D126">
        <v>18</v>
      </c>
      <c r="E126">
        <v>6</v>
      </c>
      <c r="F126">
        <v>14</v>
      </c>
      <c r="G126">
        <v>63</v>
      </c>
      <c r="H126">
        <v>49</v>
      </c>
      <c r="I126">
        <v>14</v>
      </c>
      <c r="J126">
        <v>60</v>
      </c>
      <c r="K126">
        <v>1.58</v>
      </c>
      <c r="L126">
        <v>63.6</v>
      </c>
      <c r="M126">
        <v>46.3</v>
      </c>
      <c r="N126">
        <v>17.3</v>
      </c>
      <c r="O126">
        <v>0.45</v>
      </c>
      <c r="P126" s="2">
        <v>11321</v>
      </c>
      <c r="Q126" t="s">
        <v>805</v>
      </c>
      <c r="R126" t="s">
        <v>782</v>
      </c>
      <c r="S126" t="s">
        <v>780</v>
      </c>
    </row>
    <row r="127" spans="1:19" s="55" customFormat="1" x14ac:dyDescent="0.25">
      <c r="A127" s="55">
        <v>6</v>
      </c>
      <c r="B127" s="55" t="s">
        <v>931</v>
      </c>
      <c r="C127" s="55">
        <v>38</v>
      </c>
      <c r="D127" s="55">
        <v>16</v>
      </c>
      <c r="E127" s="55">
        <v>8</v>
      </c>
      <c r="F127" s="55">
        <v>14</v>
      </c>
      <c r="G127" s="55">
        <v>56</v>
      </c>
      <c r="H127" s="55">
        <v>48</v>
      </c>
      <c r="I127" s="55">
        <v>8</v>
      </c>
      <c r="J127" s="55">
        <v>56</v>
      </c>
      <c r="K127" s="55">
        <v>1.47</v>
      </c>
      <c r="L127" s="55">
        <v>48.9</v>
      </c>
      <c r="M127" s="55">
        <v>43</v>
      </c>
      <c r="N127" s="55">
        <v>5.8</v>
      </c>
      <c r="O127" s="55">
        <v>0.15</v>
      </c>
      <c r="P127" s="56">
        <v>21204</v>
      </c>
      <c r="Q127" s="55" t="s">
        <v>806</v>
      </c>
      <c r="R127" s="55" t="s">
        <v>588</v>
      </c>
      <c r="S127" s="55" t="s">
        <v>40</v>
      </c>
    </row>
    <row r="128" spans="1:19" x14ac:dyDescent="0.25">
      <c r="A128">
        <v>7</v>
      </c>
      <c r="B128" t="s">
        <v>932</v>
      </c>
      <c r="C128">
        <v>38</v>
      </c>
      <c r="D128">
        <v>16</v>
      </c>
      <c r="E128">
        <v>8</v>
      </c>
      <c r="F128">
        <v>14</v>
      </c>
      <c r="G128">
        <v>52</v>
      </c>
      <c r="H128">
        <v>45</v>
      </c>
      <c r="I128">
        <v>7</v>
      </c>
      <c r="J128">
        <v>56</v>
      </c>
      <c r="K128">
        <v>1.47</v>
      </c>
      <c r="L128">
        <v>44.9</v>
      </c>
      <c r="M128">
        <v>42.6</v>
      </c>
      <c r="N128">
        <v>2.2999999999999998</v>
      </c>
      <c r="O128">
        <v>0.06</v>
      </c>
      <c r="P128" s="2">
        <v>11174</v>
      </c>
      <c r="Q128" t="s">
        <v>807</v>
      </c>
      <c r="R128" t="s">
        <v>592</v>
      </c>
      <c r="S128" t="s">
        <v>40</v>
      </c>
    </row>
    <row r="129" spans="1:19" x14ac:dyDescent="0.25">
      <c r="A129">
        <v>8</v>
      </c>
      <c r="B129" t="s">
        <v>933</v>
      </c>
      <c r="C129">
        <v>38</v>
      </c>
      <c r="D129">
        <v>14</v>
      </c>
      <c r="E129">
        <v>12</v>
      </c>
      <c r="F129">
        <v>12</v>
      </c>
      <c r="G129">
        <v>43</v>
      </c>
      <c r="H129">
        <v>37</v>
      </c>
      <c r="I129">
        <v>6</v>
      </c>
      <c r="J129">
        <v>54</v>
      </c>
      <c r="K129">
        <v>1.42</v>
      </c>
      <c r="L129">
        <v>41.6</v>
      </c>
      <c r="M129">
        <v>41.4</v>
      </c>
      <c r="N129">
        <v>0.2</v>
      </c>
      <c r="O129">
        <v>0</v>
      </c>
      <c r="P129" s="2">
        <v>8000</v>
      </c>
      <c r="Q129" t="s">
        <v>808</v>
      </c>
      <c r="R129" t="s">
        <v>611</v>
      </c>
    </row>
    <row r="130" spans="1:19" s="53" customFormat="1" x14ac:dyDescent="0.25">
      <c r="A130" s="53">
        <v>9</v>
      </c>
      <c r="B130" s="53" t="s">
        <v>934</v>
      </c>
      <c r="C130" s="53">
        <v>38</v>
      </c>
      <c r="D130" s="53">
        <v>14</v>
      </c>
      <c r="E130" s="53">
        <v>11</v>
      </c>
      <c r="F130" s="53">
        <v>13</v>
      </c>
      <c r="G130" s="53">
        <v>46</v>
      </c>
      <c r="H130" s="53">
        <v>53</v>
      </c>
      <c r="I130" s="53">
        <v>-7</v>
      </c>
      <c r="J130" s="53">
        <v>53</v>
      </c>
      <c r="K130" s="53">
        <v>1.39</v>
      </c>
      <c r="L130" s="53">
        <v>43.3</v>
      </c>
      <c r="M130" s="53">
        <v>56</v>
      </c>
      <c r="N130" s="53">
        <v>-12.7</v>
      </c>
      <c r="O130" s="53">
        <v>-0.33</v>
      </c>
      <c r="P130" s="54">
        <v>29658</v>
      </c>
      <c r="Q130" s="53" t="s">
        <v>32</v>
      </c>
      <c r="R130" s="53" t="s">
        <v>33</v>
      </c>
    </row>
    <row r="131" spans="1:19" x14ac:dyDescent="0.25">
      <c r="A131">
        <v>10</v>
      </c>
      <c r="B131" t="s">
        <v>935</v>
      </c>
      <c r="C131">
        <v>38</v>
      </c>
      <c r="D131">
        <v>13</v>
      </c>
      <c r="E131">
        <v>13</v>
      </c>
      <c r="F131">
        <v>12</v>
      </c>
      <c r="G131">
        <v>46</v>
      </c>
      <c r="H131">
        <v>54</v>
      </c>
      <c r="I131">
        <v>-8</v>
      </c>
      <c r="J131">
        <v>52</v>
      </c>
      <c r="K131">
        <v>1.37</v>
      </c>
      <c r="L131">
        <v>49.4</v>
      </c>
      <c r="M131">
        <v>49.4</v>
      </c>
      <c r="N131">
        <v>0.1</v>
      </c>
      <c r="O131">
        <v>0</v>
      </c>
      <c r="P131" s="2">
        <v>11453</v>
      </c>
      <c r="Q131" t="s">
        <v>809</v>
      </c>
      <c r="R131" t="s">
        <v>661</v>
      </c>
    </row>
    <row r="132" spans="1:19" x14ac:dyDescent="0.25">
      <c r="A132">
        <v>11</v>
      </c>
      <c r="B132" t="s">
        <v>936</v>
      </c>
      <c r="C132">
        <v>38</v>
      </c>
      <c r="D132">
        <v>13</v>
      </c>
      <c r="E132">
        <v>12</v>
      </c>
      <c r="F132">
        <v>13</v>
      </c>
      <c r="G132">
        <v>41</v>
      </c>
      <c r="H132">
        <v>38</v>
      </c>
      <c r="I132">
        <v>3</v>
      </c>
      <c r="J132">
        <v>51</v>
      </c>
      <c r="K132">
        <v>1.34</v>
      </c>
      <c r="L132">
        <v>41.5</v>
      </c>
      <c r="M132">
        <v>48.8</v>
      </c>
      <c r="N132">
        <v>-7.3</v>
      </c>
      <c r="O132">
        <v>-0.19</v>
      </c>
      <c r="P132" s="2">
        <v>28039</v>
      </c>
      <c r="Q132" t="s">
        <v>810</v>
      </c>
      <c r="R132" t="s">
        <v>597</v>
      </c>
    </row>
    <row r="133" spans="1:19" x14ac:dyDescent="0.25">
      <c r="A133">
        <v>12</v>
      </c>
      <c r="B133" t="s">
        <v>937</v>
      </c>
      <c r="C133">
        <v>38</v>
      </c>
      <c r="D133">
        <v>14</v>
      </c>
      <c r="E133">
        <v>7</v>
      </c>
      <c r="F133">
        <v>17</v>
      </c>
      <c r="G133">
        <v>47</v>
      </c>
      <c r="H133">
        <v>53</v>
      </c>
      <c r="I133">
        <v>-6</v>
      </c>
      <c r="J133">
        <v>49</v>
      </c>
      <c r="K133">
        <v>1.29</v>
      </c>
      <c r="L133">
        <v>48.1</v>
      </c>
      <c r="M133">
        <v>62.9</v>
      </c>
      <c r="N133">
        <v>-14.8</v>
      </c>
      <c r="O133">
        <v>-0.39</v>
      </c>
      <c r="P133" s="2">
        <v>13196</v>
      </c>
      <c r="Q133" t="s">
        <v>811</v>
      </c>
      <c r="R133" t="s">
        <v>594</v>
      </c>
    </row>
    <row r="134" spans="1:19" x14ac:dyDescent="0.25">
      <c r="A134">
        <v>13</v>
      </c>
      <c r="B134" t="s">
        <v>938</v>
      </c>
      <c r="C134">
        <v>38</v>
      </c>
      <c r="D134">
        <v>9</v>
      </c>
      <c r="E134">
        <v>15</v>
      </c>
      <c r="F134">
        <v>14</v>
      </c>
      <c r="G134">
        <v>32</v>
      </c>
      <c r="H134">
        <v>43</v>
      </c>
      <c r="I134">
        <v>-11</v>
      </c>
      <c r="J134">
        <v>42</v>
      </c>
      <c r="K134">
        <v>1.1100000000000001</v>
      </c>
      <c r="L134">
        <v>36.6</v>
      </c>
      <c r="M134">
        <v>54.5</v>
      </c>
      <c r="N134">
        <v>-18</v>
      </c>
      <c r="O134">
        <v>-0.47</v>
      </c>
      <c r="P134" s="2">
        <v>13580</v>
      </c>
      <c r="Q134" t="s">
        <v>759</v>
      </c>
      <c r="R134" t="s">
        <v>616</v>
      </c>
    </row>
    <row r="135" spans="1:19" x14ac:dyDescent="0.25">
      <c r="A135">
        <v>14</v>
      </c>
      <c r="B135" t="s">
        <v>939</v>
      </c>
      <c r="C135">
        <v>38</v>
      </c>
      <c r="D135">
        <v>11</v>
      </c>
      <c r="E135">
        <v>9</v>
      </c>
      <c r="F135">
        <v>18</v>
      </c>
      <c r="G135">
        <v>39</v>
      </c>
      <c r="H135">
        <v>56</v>
      </c>
      <c r="I135">
        <v>-17</v>
      </c>
      <c r="J135">
        <v>42</v>
      </c>
      <c r="K135">
        <v>1.1100000000000001</v>
      </c>
      <c r="L135">
        <v>42</v>
      </c>
      <c r="M135">
        <v>53</v>
      </c>
      <c r="N135">
        <v>-11</v>
      </c>
      <c r="O135">
        <v>-0.28999999999999998</v>
      </c>
      <c r="P135" s="2">
        <v>4151</v>
      </c>
      <c r="Q135" t="s">
        <v>812</v>
      </c>
      <c r="R135" t="s">
        <v>795</v>
      </c>
    </row>
    <row r="136" spans="1:19" x14ac:dyDescent="0.25">
      <c r="A136">
        <v>15</v>
      </c>
      <c r="B136" t="s">
        <v>940</v>
      </c>
      <c r="C136">
        <v>38</v>
      </c>
      <c r="D136">
        <v>10</v>
      </c>
      <c r="E136">
        <v>11</v>
      </c>
      <c r="F136">
        <v>17</v>
      </c>
      <c r="G136">
        <v>48</v>
      </c>
      <c r="H136">
        <v>60</v>
      </c>
      <c r="I136">
        <v>-12</v>
      </c>
      <c r="J136">
        <v>41</v>
      </c>
      <c r="K136">
        <v>1.08</v>
      </c>
      <c r="L136">
        <v>51</v>
      </c>
      <c r="M136">
        <v>54.8</v>
      </c>
      <c r="N136">
        <v>-3.7</v>
      </c>
      <c r="O136">
        <v>-0.1</v>
      </c>
      <c r="P136" s="2">
        <v>35969</v>
      </c>
      <c r="Q136" t="s">
        <v>813</v>
      </c>
      <c r="R136" t="s">
        <v>814</v>
      </c>
    </row>
    <row r="137" spans="1:19" x14ac:dyDescent="0.25">
      <c r="A137">
        <v>16</v>
      </c>
      <c r="B137" t="s">
        <v>941</v>
      </c>
      <c r="C137">
        <v>38</v>
      </c>
      <c r="D137">
        <v>10</v>
      </c>
      <c r="E137">
        <v>9</v>
      </c>
      <c r="F137">
        <v>19</v>
      </c>
      <c r="G137">
        <v>34</v>
      </c>
      <c r="H137">
        <v>59</v>
      </c>
      <c r="I137">
        <v>-25</v>
      </c>
      <c r="J137">
        <v>39</v>
      </c>
      <c r="K137">
        <v>1.03</v>
      </c>
      <c r="L137">
        <v>39.299999999999997</v>
      </c>
      <c r="M137">
        <v>57.8</v>
      </c>
      <c r="N137">
        <v>-18.5</v>
      </c>
      <c r="O137">
        <v>-0.49</v>
      </c>
      <c r="P137" s="2">
        <v>12177</v>
      </c>
      <c r="Q137" t="s">
        <v>820</v>
      </c>
      <c r="R137" t="s">
        <v>619</v>
      </c>
    </row>
    <row r="138" spans="1:19" x14ac:dyDescent="0.25">
      <c r="A138">
        <v>17</v>
      </c>
      <c r="B138" t="s">
        <v>942</v>
      </c>
      <c r="C138">
        <v>38</v>
      </c>
      <c r="D138">
        <v>7</v>
      </c>
      <c r="E138">
        <v>16</v>
      </c>
      <c r="F138">
        <v>15</v>
      </c>
      <c r="G138">
        <v>37</v>
      </c>
      <c r="H138">
        <v>49</v>
      </c>
      <c r="I138">
        <v>-12</v>
      </c>
      <c r="J138">
        <v>37</v>
      </c>
      <c r="K138">
        <v>0.97</v>
      </c>
      <c r="L138">
        <v>39.200000000000003</v>
      </c>
      <c r="M138">
        <v>45.3</v>
      </c>
      <c r="N138">
        <v>-6.1</v>
      </c>
      <c r="O138">
        <v>-0.16</v>
      </c>
      <c r="P138" s="2">
        <v>11995</v>
      </c>
      <c r="Q138" t="s">
        <v>783</v>
      </c>
      <c r="R138" t="s">
        <v>815</v>
      </c>
    </row>
    <row r="139" spans="1:19" x14ac:dyDescent="0.25">
      <c r="A139">
        <v>18</v>
      </c>
      <c r="B139" t="s">
        <v>943</v>
      </c>
      <c r="C139">
        <v>38</v>
      </c>
      <c r="D139">
        <v>8</v>
      </c>
      <c r="E139">
        <v>12</v>
      </c>
      <c r="F139">
        <v>18</v>
      </c>
      <c r="G139">
        <v>30</v>
      </c>
      <c r="H139">
        <v>51</v>
      </c>
      <c r="I139">
        <v>-21</v>
      </c>
      <c r="J139">
        <v>36</v>
      </c>
      <c r="K139">
        <v>0.95</v>
      </c>
      <c r="L139">
        <v>39.9</v>
      </c>
      <c r="M139">
        <v>42.8</v>
      </c>
      <c r="N139">
        <v>-2.9</v>
      </c>
      <c r="O139">
        <v>-0.08</v>
      </c>
      <c r="P139" s="2">
        <v>7539</v>
      </c>
      <c r="Q139" t="s">
        <v>816</v>
      </c>
      <c r="R139" t="s">
        <v>817</v>
      </c>
      <c r="S139" t="s">
        <v>617</v>
      </c>
    </row>
    <row r="140" spans="1:19" x14ac:dyDescent="0.25">
      <c r="A140">
        <v>19</v>
      </c>
      <c r="B140" t="s">
        <v>944</v>
      </c>
      <c r="C140">
        <v>38</v>
      </c>
      <c r="D140">
        <v>9</v>
      </c>
      <c r="E140">
        <v>6</v>
      </c>
      <c r="F140">
        <v>23</v>
      </c>
      <c r="G140">
        <v>40</v>
      </c>
      <c r="H140">
        <v>65</v>
      </c>
      <c r="I140">
        <v>-25</v>
      </c>
      <c r="J140">
        <v>33</v>
      </c>
      <c r="K140">
        <v>0.87</v>
      </c>
      <c r="L140">
        <v>41.1</v>
      </c>
      <c r="M140">
        <v>63.5</v>
      </c>
      <c r="N140">
        <v>-22.4</v>
      </c>
      <c r="O140">
        <v>-0.59</v>
      </c>
      <c r="P140" s="2">
        <v>10877</v>
      </c>
      <c r="Q140" t="s">
        <v>818</v>
      </c>
      <c r="R140" t="s">
        <v>765</v>
      </c>
      <c r="S140" t="s">
        <v>617</v>
      </c>
    </row>
    <row r="141" spans="1:19" x14ac:dyDescent="0.25">
      <c r="A141">
        <v>20</v>
      </c>
      <c r="B141" t="s">
        <v>945</v>
      </c>
      <c r="C141">
        <v>38</v>
      </c>
      <c r="D141">
        <v>5</v>
      </c>
      <c r="E141">
        <v>10</v>
      </c>
      <c r="F141">
        <v>23</v>
      </c>
      <c r="G141">
        <v>27</v>
      </c>
      <c r="H141">
        <v>58</v>
      </c>
      <c r="I141">
        <v>-31</v>
      </c>
      <c r="J141">
        <v>25</v>
      </c>
      <c r="K141">
        <v>0.66</v>
      </c>
      <c r="L141">
        <v>38.6</v>
      </c>
      <c r="M141">
        <v>51</v>
      </c>
      <c r="N141">
        <v>-12.4</v>
      </c>
      <c r="O141">
        <v>-0.33</v>
      </c>
      <c r="P141" s="2">
        <v>16260</v>
      </c>
      <c r="Q141" t="s">
        <v>821</v>
      </c>
      <c r="R141" t="s">
        <v>819</v>
      </c>
    </row>
    <row r="143" spans="1:19" s="36" customFormat="1" x14ac:dyDescent="0.25">
      <c r="A143" s="36" t="s">
        <v>822</v>
      </c>
    </row>
    <row r="145" spans="1:19" x14ac:dyDescent="0.25">
      <c r="A145" t="s">
        <v>577</v>
      </c>
      <c r="B145" t="s">
        <v>15</v>
      </c>
      <c r="C145" t="s">
        <v>17</v>
      </c>
      <c r="D145" t="s">
        <v>18</v>
      </c>
      <c r="E145" t="s">
        <v>4</v>
      </c>
      <c r="F145" t="s">
        <v>19</v>
      </c>
      <c r="G145" t="s">
        <v>20</v>
      </c>
      <c r="H145" t="s">
        <v>21</v>
      </c>
      <c r="I145" t="s">
        <v>22</v>
      </c>
      <c r="J145" t="s">
        <v>23</v>
      </c>
      <c r="K145" t="s">
        <v>578</v>
      </c>
      <c r="L145" t="s">
        <v>55</v>
      </c>
      <c r="M145" t="s">
        <v>56</v>
      </c>
      <c r="N145" t="s">
        <v>579</v>
      </c>
      <c r="O145" t="s">
        <v>580</v>
      </c>
      <c r="P145" t="s">
        <v>24</v>
      </c>
      <c r="Q145" t="s">
        <v>25</v>
      </c>
      <c r="R145" t="s">
        <v>26</v>
      </c>
      <c r="S145" t="s">
        <v>27</v>
      </c>
    </row>
    <row r="146" spans="1:19" x14ac:dyDescent="0.25">
      <c r="A146">
        <v>1</v>
      </c>
      <c r="B146" t="s">
        <v>927</v>
      </c>
      <c r="C146">
        <v>38</v>
      </c>
      <c r="D146">
        <v>26</v>
      </c>
      <c r="E146">
        <v>9</v>
      </c>
      <c r="F146">
        <v>3</v>
      </c>
      <c r="G146">
        <v>90</v>
      </c>
      <c r="H146">
        <v>36</v>
      </c>
      <c r="I146">
        <v>54</v>
      </c>
      <c r="J146">
        <v>87</v>
      </c>
      <c r="K146">
        <v>2.29</v>
      </c>
      <c r="L146">
        <v>75.8</v>
      </c>
      <c r="M146">
        <v>45.3</v>
      </c>
      <c r="N146">
        <v>30.5</v>
      </c>
      <c r="O146">
        <v>0.8</v>
      </c>
      <c r="P146" s="2">
        <v>76104</v>
      </c>
      <c r="Q146" t="s">
        <v>823</v>
      </c>
      <c r="R146" t="s">
        <v>582</v>
      </c>
      <c r="S146" t="s">
        <v>36</v>
      </c>
    </row>
    <row r="147" spans="1:19" x14ac:dyDescent="0.25">
      <c r="A147">
        <v>2</v>
      </c>
      <c r="B147" t="s">
        <v>928</v>
      </c>
      <c r="C147">
        <v>38</v>
      </c>
      <c r="D147">
        <v>22</v>
      </c>
      <c r="E147">
        <v>10</v>
      </c>
      <c r="F147">
        <v>6</v>
      </c>
      <c r="G147">
        <v>55</v>
      </c>
      <c r="H147">
        <v>29</v>
      </c>
      <c r="I147">
        <v>26</v>
      </c>
      <c r="J147">
        <v>76</v>
      </c>
      <c r="K147">
        <v>2</v>
      </c>
      <c r="L147">
        <v>47.3</v>
      </c>
      <c r="M147">
        <v>41.9</v>
      </c>
      <c r="N147">
        <v>5.4</v>
      </c>
      <c r="O147">
        <v>0.14000000000000001</v>
      </c>
      <c r="P147" s="2">
        <v>56216</v>
      </c>
      <c r="Q147" t="s">
        <v>585</v>
      </c>
      <c r="R147" t="s">
        <v>586</v>
      </c>
      <c r="S147" t="s">
        <v>36</v>
      </c>
    </row>
    <row r="148" spans="1:19" x14ac:dyDescent="0.25">
      <c r="A148">
        <v>3</v>
      </c>
      <c r="B148" t="s">
        <v>926</v>
      </c>
      <c r="C148">
        <v>38</v>
      </c>
      <c r="D148">
        <v>21</v>
      </c>
      <c r="E148">
        <v>5</v>
      </c>
      <c r="F148">
        <v>12</v>
      </c>
      <c r="G148">
        <v>63</v>
      </c>
      <c r="H148">
        <v>46</v>
      </c>
      <c r="I148">
        <v>17</v>
      </c>
      <c r="J148">
        <v>68</v>
      </c>
      <c r="K148">
        <v>1.79</v>
      </c>
      <c r="L148">
        <v>66.7</v>
      </c>
      <c r="M148">
        <v>47.1</v>
      </c>
      <c r="N148">
        <v>19.600000000000001</v>
      </c>
      <c r="O148">
        <v>0.52</v>
      </c>
      <c r="P148" s="2">
        <v>61040</v>
      </c>
      <c r="Q148" t="s">
        <v>800</v>
      </c>
      <c r="R148" t="s">
        <v>584</v>
      </c>
      <c r="S148" t="s">
        <v>36</v>
      </c>
    </row>
    <row r="149" spans="1:19" s="53" customFormat="1" x14ac:dyDescent="0.25">
      <c r="A149" s="53">
        <v>4</v>
      </c>
      <c r="B149" s="53" t="s">
        <v>934</v>
      </c>
      <c r="C149" s="53">
        <v>38</v>
      </c>
      <c r="D149" s="53">
        <v>15</v>
      </c>
      <c r="E149" s="53">
        <v>16</v>
      </c>
      <c r="F149" s="53">
        <v>7</v>
      </c>
      <c r="G149" s="53">
        <v>51</v>
      </c>
      <c r="H149" s="53">
        <v>35</v>
      </c>
      <c r="I149" s="53">
        <v>16</v>
      </c>
      <c r="J149" s="53">
        <v>61</v>
      </c>
      <c r="K149" s="53">
        <v>1.61</v>
      </c>
      <c r="L149" s="53">
        <v>60.7</v>
      </c>
      <c r="M149" s="53">
        <v>42.9</v>
      </c>
      <c r="N149" s="53">
        <v>17.8</v>
      </c>
      <c r="O149" s="53">
        <v>0.47</v>
      </c>
      <c r="P149" s="54">
        <v>39504</v>
      </c>
      <c r="Q149" s="53" t="s">
        <v>34</v>
      </c>
      <c r="R149" s="53" t="s">
        <v>35</v>
      </c>
      <c r="S149" s="53" t="s">
        <v>36</v>
      </c>
    </row>
    <row r="150" spans="1:19" x14ac:dyDescent="0.25">
      <c r="A150">
        <v>5</v>
      </c>
      <c r="B150" t="s">
        <v>933</v>
      </c>
      <c r="C150">
        <v>38</v>
      </c>
      <c r="D150">
        <v>15</v>
      </c>
      <c r="E150">
        <v>14</v>
      </c>
      <c r="F150">
        <v>9</v>
      </c>
      <c r="G150">
        <v>48</v>
      </c>
      <c r="H150">
        <v>35</v>
      </c>
      <c r="I150">
        <v>13</v>
      </c>
      <c r="J150">
        <v>59</v>
      </c>
      <c r="K150">
        <v>1.55</v>
      </c>
      <c r="L150">
        <v>46.2</v>
      </c>
      <c r="M150">
        <v>43.6</v>
      </c>
      <c r="N150">
        <v>2.6</v>
      </c>
      <c r="O150">
        <v>7.0000000000000007E-2</v>
      </c>
      <c r="P150" s="2">
        <v>11000</v>
      </c>
      <c r="Q150" t="s">
        <v>824</v>
      </c>
      <c r="R150" t="s">
        <v>611</v>
      </c>
      <c r="S150" t="s">
        <v>40</v>
      </c>
    </row>
    <row r="151" spans="1:19" x14ac:dyDescent="0.25">
      <c r="A151">
        <v>6</v>
      </c>
      <c r="B151" t="s">
        <v>929</v>
      </c>
      <c r="C151">
        <v>38</v>
      </c>
      <c r="D151">
        <v>17</v>
      </c>
      <c r="E151">
        <v>8</v>
      </c>
      <c r="F151">
        <v>13</v>
      </c>
      <c r="G151">
        <v>62</v>
      </c>
      <c r="H151">
        <v>47</v>
      </c>
      <c r="I151">
        <v>15</v>
      </c>
      <c r="J151">
        <v>59</v>
      </c>
      <c r="K151">
        <v>1.55</v>
      </c>
      <c r="L151">
        <v>66.599999999999994</v>
      </c>
      <c r="M151">
        <v>45.4</v>
      </c>
      <c r="N151">
        <v>21.3</v>
      </c>
      <c r="O151">
        <v>0.56000000000000005</v>
      </c>
      <c r="P151" s="2">
        <v>35993</v>
      </c>
      <c r="Q151" t="s">
        <v>825</v>
      </c>
      <c r="R151" t="s">
        <v>804</v>
      </c>
      <c r="S151" t="s">
        <v>780</v>
      </c>
    </row>
    <row r="152" spans="1:19" x14ac:dyDescent="0.25">
      <c r="A152">
        <v>7</v>
      </c>
      <c r="B152" t="s">
        <v>945</v>
      </c>
      <c r="C152">
        <v>38</v>
      </c>
      <c r="D152">
        <v>14</v>
      </c>
      <c r="E152">
        <v>11</v>
      </c>
      <c r="F152">
        <v>13</v>
      </c>
      <c r="G152">
        <v>48</v>
      </c>
      <c r="H152">
        <v>50</v>
      </c>
      <c r="I152">
        <v>-2</v>
      </c>
      <c r="J152">
        <v>53</v>
      </c>
      <c r="K152">
        <v>1.39</v>
      </c>
      <c r="L152">
        <v>48.9</v>
      </c>
      <c r="M152">
        <v>53.8</v>
      </c>
      <c r="N152">
        <v>-4.9000000000000004</v>
      </c>
      <c r="O152">
        <v>-0.13</v>
      </c>
      <c r="P152" s="2">
        <v>19388</v>
      </c>
      <c r="Q152" t="s">
        <v>826</v>
      </c>
      <c r="R152" t="s">
        <v>762</v>
      </c>
      <c r="S152" t="s">
        <v>40</v>
      </c>
    </row>
    <row r="153" spans="1:19" x14ac:dyDescent="0.25">
      <c r="A153">
        <v>8</v>
      </c>
      <c r="B153" t="s">
        <v>936</v>
      </c>
      <c r="C153">
        <v>38</v>
      </c>
      <c r="D153">
        <v>13</v>
      </c>
      <c r="E153">
        <v>14</v>
      </c>
      <c r="F153">
        <v>11</v>
      </c>
      <c r="G153">
        <v>41</v>
      </c>
      <c r="H153">
        <v>45</v>
      </c>
      <c r="I153">
        <v>-4</v>
      </c>
      <c r="J153">
        <v>53</v>
      </c>
      <c r="K153">
        <v>1.39</v>
      </c>
      <c r="L153">
        <v>43.4</v>
      </c>
      <c r="M153">
        <v>45.7</v>
      </c>
      <c r="N153">
        <v>-2.2999999999999998</v>
      </c>
      <c r="O153">
        <v>-0.06</v>
      </c>
      <c r="P153" s="2">
        <v>40664</v>
      </c>
      <c r="Q153" t="s">
        <v>827</v>
      </c>
      <c r="R153" t="s">
        <v>828</v>
      </c>
    </row>
    <row r="154" spans="1:19" s="55" customFormat="1" x14ac:dyDescent="0.25">
      <c r="A154" s="55">
        <v>9</v>
      </c>
      <c r="B154" s="55" t="s">
        <v>931</v>
      </c>
      <c r="C154" s="55">
        <v>38</v>
      </c>
      <c r="D154" s="55">
        <v>13</v>
      </c>
      <c r="E154" s="55">
        <v>11</v>
      </c>
      <c r="F154" s="55">
        <v>14</v>
      </c>
      <c r="G154" s="55">
        <v>45</v>
      </c>
      <c r="H154" s="55">
        <v>46</v>
      </c>
      <c r="I154" s="55">
        <v>-1</v>
      </c>
      <c r="J154" s="55">
        <v>50</v>
      </c>
      <c r="K154" s="55">
        <v>1.32</v>
      </c>
      <c r="L154" s="55">
        <v>49.7</v>
      </c>
      <c r="M154" s="55">
        <v>48.6</v>
      </c>
      <c r="N154" s="55">
        <v>1.1000000000000001</v>
      </c>
      <c r="O154" s="55">
        <v>0.03</v>
      </c>
      <c r="P154" s="56">
        <v>22310</v>
      </c>
      <c r="Q154" s="55" t="s">
        <v>829</v>
      </c>
      <c r="R154" s="55" t="s">
        <v>753</v>
      </c>
    </row>
    <row r="155" spans="1:19" x14ac:dyDescent="0.25">
      <c r="A155">
        <v>10</v>
      </c>
      <c r="B155" t="s">
        <v>940</v>
      </c>
      <c r="C155">
        <v>38</v>
      </c>
      <c r="D155">
        <v>14</v>
      </c>
      <c r="E155">
        <v>8</v>
      </c>
      <c r="F155">
        <v>16</v>
      </c>
      <c r="G155">
        <v>44</v>
      </c>
      <c r="H155">
        <v>52</v>
      </c>
      <c r="I155">
        <v>-8</v>
      </c>
      <c r="J155">
        <v>50</v>
      </c>
      <c r="K155">
        <v>1.32</v>
      </c>
      <c r="L155">
        <v>47.1</v>
      </c>
      <c r="M155">
        <v>49.4</v>
      </c>
      <c r="N155">
        <v>-2.4</v>
      </c>
      <c r="O155">
        <v>-0.06</v>
      </c>
      <c r="P155" s="2">
        <v>44525</v>
      </c>
      <c r="Q155" t="s">
        <v>830</v>
      </c>
      <c r="R155" t="s">
        <v>831</v>
      </c>
    </row>
    <row r="156" spans="1:19" x14ac:dyDescent="0.25">
      <c r="A156">
        <v>11</v>
      </c>
      <c r="B156" t="s">
        <v>941</v>
      </c>
      <c r="C156">
        <v>38</v>
      </c>
      <c r="D156">
        <v>13</v>
      </c>
      <c r="E156">
        <v>11</v>
      </c>
      <c r="F156">
        <v>14</v>
      </c>
      <c r="G156">
        <v>39</v>
      </c>
      <c r="H156">
        <v>50</v>
      </c>
      <c r="I156">
        <v>-11</v>
      </c>
      <c r="J156">
        <v>50</v>
      </c>
      <c r="K156">
        <v>1.32</v>
      </c>
      <c r="L156">
        <v>41.1</v>
      </c>
      <c r="M156">
        <v>53.2</v>
      </c>
      <c r="N156">
        <v>-12.1</v>
      </c>
      <c r="O156">
        <v>-0.32</v>
      </c>
      <c r="P156" s="2">
        <v>17295</v>
      </c>
      <c r="Q156" t="s">
        <v>832</v>
      </c>
      <c r="R156" t="s">
        <v>619</v>
      </c>
    </row>
    <row r="157" spans="1:19" x14ac:dyDescent="0.25">
      <c r="A157">
        <v>12</v>
      </c>
      <c r="B157" t="s">
        <v>939</v>
      </c>
      <c r="C157">
        <v>38</v>
      </c>
      <c r="D157">
        <v>11</v>
      </c>
      <c r="E157">
        <v>14</v>
      </c>
      <c r="F157">
        <v>13</v>
      </c>
      <c r="G157">
        <v>46</v>
      </c>
      <c r="H157">
        <v>50</v>
      </c>
      <c r="I157">
        <v>-4</v>
      </c>
      <c r="J157">
        <v>47</v>
      </c>
      <c r="K157">
        <v>1.24</v>
      </c>
      <c r="L157">
        <v>54.8</v>
      </c>
      <c r="M157">
        <v>45.9</v>
      </c>
      <c r="N157">
        <v>9</v>
      </c>
      <c r="O157">
        <v>0.24</v>
      </c>
      <c r="P157" s="2">
        <v>4896</v>
      </c>
      <c r="Q157" t="s">
        <v>833</v>
      </c>
      <c r="R157" t="s">
        <v>795</v>
      </c>
    </row>
    <row r="158" spans="1:19" x14ac:dyDescent="0.25">
      <c r="A158">
        <v>13</v>
      </c>
      <c r="B158" t="s">
        <v>943</v>
      </c>
      <c r="C158">
        <v>38</v>
      </c>
      <c r="D158">
        <v>11</v>
      </c>
      <c r="E158">
        <v>12</v>
      </c>
      <c r="F158">
        <v>15</v>
      </c>
      <c r="G158">
        <v>37</v>
      </c>
      <c r="H158">
        <v>43</v>
      </c>
      <c r="I158">
        <v>-6</v>
      </c>
      <c r="J158">
        <v>45</v>
      </c>
      <c r="K158">
        <v>1.18</v>
      </c>
      <c r="L158">
        <v>40.6</v>
      </c>
      <c r="M158">
        <v>41.2</v>
      </c>
      <c r="N158">
        <v>-0.6</v>
      </c>
      <c r="O158">
        <v>-0.02</v>
      </c>
      <c r="P158" s="2">
        <v>10416</v>
      </c>
      <c r="Q158" t="s">
        <v>834</v>
      </c>
      <c r="R158" t="s">
        <v>817</v>
      </c>
    </row>
    <row r="159" spans="1:19" x14ac:dyDescent="0.25">
      <c r="A159">
        <v>14</v>
      </c>
      <c r="B159" t="s">
        <v>930</v>
      </c>
      <c r="C159">
        <v>38</v>
      </c>
      <c r="D159">
        <v>10</v>
      </c>
      <c r="E159">
        <v>14</v>
      </c>
      <c r="F159">
        <v>14</v>
      </c>
      <c r="G159">
        <v>49</v>
      </c>
      <c r="H159">
        <v>52</v>
      </c>
      <c r="I159">
        <v>-3</v>
      </c>
      <c r="J159">
        <v>44</v>
      </c>
      <c r="K159">
        <v>1.1599999999999999</v>
      </c>
      <c r="L159">
        <v>53.9</v>
      </c>
      <c r="M159">
        <v>55</v>
      </c>
      <c r="N159">
        <v>-1.1000000000000001</v>
      </c>
      <c r="O159">
        <v>-0.03</v>
      </c>
      <c r="P159" s="2">
        <v>16732</v>
      </c>
      <c r="Q159" t="s">
        <v>835</v>
      </c>
      <c r="R159" t="s">
        <v>782</v>
      </c>
    </row>
    <row r="160" spans="1:19" x14ac:dyDescent="0.25">
      <c r="A160">
        <v>15</v>
      </c>
      <c r="B160" t="s">
        <v>937</v>
      </c>
      <c r="C160">
        <v>38</v>
      </c>
      <c r="D160">
        <v>11</v>
      </c>
      <c r="E160">
        <v>11</v>
      </c>
      <c r="F160">
        <v>16</v>
      </c>
      <c r="G160">
        <v>59</v>
      </c>
      <c r="H160">
        <v>66</v>
      </c>
      <c r="I160">
        <v>-7</v>
      </c>
      <c r="J160">
        <v>44</v>
      </c>
      <c r="K160">
        <v>1.1599999999999999</v>
      </c>
      <c r="L160">
        <v>53.9</v>
      </c>
      <c r="M160">
        <v>76.2</v>
      </c>
      <c r="N160">
        <v>-22.3</v>
      </c>
      <c r="O160">
        <v>-0.59</v>
      </c>
      <c r="P160" s="2">
        <v>20216</v>
      </c>
      <c r="Q160" t="s">
        <v>836</v>
      </c>
      <c r="R160" t="s">
        <v>837</v>
      </c>
    </row>
    <row r="161" spans="1:19" x14ac:dyDescent="0.25">
      <c r="A161">
        <v>16</v>
      </c>
      <c r="B161" t="s">
        <v>938</v>
      </c>
      <c r="C161">
        <v>38</v>
      </c>
      <c r="D161">
        <v>10</v>
      </c>
      <c r="E161">
        <v>11</v>
      </c>
      <c r="F161">
        <v>17</v>
      </c>
      <c r="G161">
        <v>32</v>
      </c>
      <c r="H161">
        <v>51</v>
      </c>
      <c r="I161">
        <v>-19</v>
      </c>
      <c r="J161">
        <v>41</v>
      </c>
      <c r="K161">
        <v>1.08</v>
      </c>
      <c r="L161">
        <v>41.1</v>
      </c>
      <c r="M161">
        <v>58.5</v>
      </c>
      <c r="N161">
        <v>-17.5</v>
      </c>
      <c r="O161">
        <v>-0.46</v>
      </c>
      <c r="P161" s="2">
        <v>18992</v>
      </c>
      <c r="Q161" t="s">
        <v>838</v>
      </c>
      <c r="R161" t="s">
        <v>616</v>
      </c>
    </row>
    <row r="162" spans="1:19" x14ac:dyDescent="0.25">
      <c r="A162">
        <v>17</v>
      </c>
      <c r="B162" t="s">
        <v>942</v>
      </c>
      <c r="C162">
        <v>38</v>
      </c>
      <c r="D162">
        <v>10</v>
      </c>
      <c r="E162">
        <v>11</v>
      </c>
      <c r="F162">
        <v>17</v>
      </c>
      <c r="G162">
        <v>53</v>
      </c>
      <c r="H162">
        <v>62</v>
      </c>
      <c r="I162">
        <v>-9</v>
      </c>
      <c r="J162">
        <v>41</v>
      </c>
      <c r="K162">
        <v>1.08</v>
      </c>
      <c r="L162">
        <v>46.5</v>
      </c>
      <c r="M162">
        <v>60.9</v>
      </c>
      <c r="N162">
        <v>-14.4</v>
      </c>
      <c r="O162">
        <v>-0.38</v>
      </c>
      <c r="P162" s="2">
        <v>17603</v>
      </c>
      <c r="Q162" t="s">
        <v>839</v>
      </c>
      <c r="R162" t="s">
        <v>815</v>
      </c>
    </row>
    <row r="163" spans="1:19" x14ac:dyDescent="0.25">
      <c r="A163">
        <v>18</v>
      </c>
      <c r="B163" t="s">
        <v>946</v>
      </c>
      <c r="C163">
        <v>38</v>
      </c>
      <c r="D163">
        <v>9</v>
      </c>
      <c r="E163">
        <v>10</v>
      </c>
      <c r="F163">
        <v>19</v>
      </c>
      <c r="G163">
        <v>37</v>
      </c>
      <c r="H163">
        <v>53</v>
      </c>
      <c r="I163">
        <v>-16</v>
      </c>
      <c r="J163">
        <v>37</v>
      </c>
      <c r="K163">
        <v>0.97</v>
      </c>
      <c r="L163">
        <v>43.5</v>
      </c>
      <c r="M163">
        <v>52.7</v>
      </c>
      <c r="N163">
        <v>-9.1999999999999993</v>
      </c>
      <c r="O163">
        <v>-0.24</v>
      </c>
      <c r="P163" s="2">
        <v>10948</v>
      </c>
      <c r="Q163" t="s">
        <v>840</v>
      </c>
      <c r="R163" t="s">
        <v>605</v>
      </c>
      <c r="S163" t="s">
        <v>617</v>
      </c>
    </row>
    <row r="164" spans="1:19" x14ac:dyDescent="0.25">
      <c r="A164">
        <v>19</v>
      </c>
      <c r="B164" t="s">
        <v>947</v>
      </c>
      <c r="C164">
        <v>38</v>
      </c>
      <c r="D164">
        <v>7</v>
      </c>
      <c r="E164">
        <v>12</v>
      </c>
      <c r="F164">
        <v>19</v>
      </c>
      <c r="G164">
        <v>43</v>
      </c>
      <c r="H164">
        <v>65</v>
      </c>
      <c r="I164">
        <v>-22</v>
      </c>
      <c r="J164">
        <v>33</v>
      </c>
      <c r="K164">
        <v>0.87</v>
      </c>
      <c r="L164">
        <v>50.8</v>
      </c>
      <c r="M164">
        <v>60.2</v>
      </c>
      <c r="N164">
        <v>-9.4</v>
      </c>
      <c r="O164">
        <v>-0.25</v>
      </c>
      <c r="P164" s="2">
        <v>6605</v>
      </c>
      <c r="Q164" t="s">
        <v>841</v>
      </c>
      <c r="R164" t="s">
        <v>842</v>
      </c>
      <c r="S164" t="s">
        <v>617</v>
      </c>
    </row>
    <row r="165" spans="1:19" x14ac:dyDescent="0.25">
      <c r="A165">
        <v>20</v>
      </c>
      <c r="B165" t="s">
        <v>948</v>
      </c>
      <c r="C165">
        <v>38</v>
      </c>
      <c r="D165">
        <v>8</v>
      </c>
      <c r="E165">
        <v>8</v>
      </c>
      <c r="F165">
        <v>22</v>
      </c>
      <c r="G165">
        <v>41</v>
      </c>
      <c r="H165">
        <v>70</v>
      </c>
      <c r="I165">
        <v>-29</v>
      </c>
      <c r="J165">
        <v>32</v>
      </c>
      <c r="K165">
        <v>0.84</v>
      </c>
      <c r="L165">
        <v>48.7</v>
      </c>
      <c r="M165">
        <v>60</v>
      </c>
      <c r="N165">
        <v>-11.3</v>
      </c>
      <c r="O165">
        <v>-0.3</v>
      </c>
      <c r="P165" s="2">
        <v>11928</v>
      </c>
      <c r="Q165" t="s">
        <v>843</v>
      </c>
      <c r="R165" t="s">
        <v>844</v>
      </c>
    </row>
    <row r="167" spans="1:19" s="36" customFormat="1" x14ac:dyDescent="0.25">
      <c r="A167" s="36" t="s">
        <v>845</v>
      </c>
    </row>
    <row r="170" spans="1:19" x14ac:dyDescent="0.25">
      <c r="A170" t="s">
        <v>641</v>
      </c>
      <c r="B170" t="s">
        <v>15</v>
      </c>
      <c r="C170" t="s">
        <v>17</v>
      </c>
      <c r="D170" t="s">
        <v>18</v>
      </c>
      <c r="E170" t="s">
        <v>4</v>
      </c>
      <c r="F170" t="s">
        <v>19</v>
      </c>
      <c r="G170" t="s">
        <v>20</v>
      </c>
      <c r="H170" t="s">
        <v>21</v>
      </c>
      <c r="I170" t="s">
        <v>22</v>
      </c>
      <c r="J170" t="s">
        <v>23</v>
      </c>
      <c r="K170" t="s">
        <v>578</v>
      </c>
      <c r="L170" t="s">
        <v>55</v>
      </c>
      <c r="M170" t="s">
        <v>56</v>
      </c>
      <c r="N170" t="s">
        <v>579</v>
      </c>
      <c r="O170" t="s">
        <v>580</v>
      </c>
      <c r="P170" t="s">
        <v>24</v>
      </c>
      <c r="Q170" t="s">
        <v>25</v>
      </c>
      <c r="R170" t="s">
        <v>26</v>
      </c>
      <c r="S170" t="s">
        <v>27</v>
      </c>
    </row>
    <row r="171" spans="1:19" x14ac:dyDescent="0.25">
      <c r="A171">
        <v>1</v>
      </c>
      <c r="B171" t="s">
        <v>927</v>
      </c>
      <c r="C171">
        <v>38</v>
      </c>
      <c r="D171">
        <v>28</v>
      </c>
      <c r="E171">
        <v>9</v>
      </c>
      <c r="F171">
        <v>1</v>
      </c>
      <c r="G171">
        <v>99</v>
      </c>
      <c r="H171">
        <v>29</v>
      </c>
      <c r="I171">
        <v>70</v>
      </c>
      <c r="J171">
        <v>93</v>
      </c>
      <c r="K171">
        <v>2.4500000000000002</v>
      </c>
      <c r="L171">
        <v>83.5</v>
      </c>
      <c r="M171">
        <v>41.9</v>
      </c>
      <c r="N171">
        <v>41.6</v>
      </c>
      <c r="O171">
        <v>1.0900000000000001</v>
      </c>
      <c r="P171" s="2">
        <v>67142</v>
      </c>
      <c r="Q171" t="s">
        <v>846</v>
      </c>
      <c r="R171" t="s">
        <v>582</v>
      </c>
      <c r="S171" t="s">
        <v>36</v>
      </c>
    </row>
    <row r="172" spans="1:19" x14ac:dyDescent="0.25">
      <c r="A172">
        <v>2</v>
      </c>
      <c r="B172" t="s">
        <v>928</v>
      </c>
      <c r="C172">
        <v>38</v>
      </c>
      <c r="D172">
        <v>23</v>
      </c>
      <c r="E172">
        <v>10</v>
      </c>
      <c r="F172">
        <v>5</v>
      </c>
      <c r="G172">
        <v>58</v>
      </c>
      <c r="H172">
        <v>22</v>
      </c>
      <c r="I172">
        <v>36</v>
      </c>
      <c r="J172">
        <v>79</v>
      </c>
      <c r="K172">
        <v>2.08</v>
      </c>
      <c r="L172">
        <v>50.2</v>
      </c>
      <c r="M172">
        <v>35.799999999999997</v>
      </c>
      <c r="N172">
        <v>14.4</v>
      </c>
      <c r="O172">
        <v>0.38</v>
      </c>
      <c r="P172" s="2">
        <v>52707</v>
      </c>
      <c r="Q172" t="s">
        <v>847</v>
      </c>
      <c r="R172" t="s">
        <v>586</v>
      </c>
      <c r="S172" t="s">
        <v>848</v>
      </c>
    </row>
    <row r="173" spans="1:19" x14ac:dyDescent="0.25">
      <c r="A173">
        <v>3</v>
      </c>
      <c r="B173" t="s">
        <v>926</v>
      </c>
      <c r="C173">
        <v>38</v>
      </c>
      <c r="D173">
        <v>22</v>
      </c>
      <c r="E173">
        <v>10</v>
      </c>
      <c r="F173">
        <v>6</v>
      </c>
      <c r="G173">
        <v>94</v>
      </c>
      <c r="H173">
        <v>44</v>
      </c>
      <c r="I173">
        <v>50</v>
      </c>
      <c r="J173">
        <v>76</v>
      </c>
      <c r="K173">
        <v>2</v>
      </c>
      <c r="L173">
        <v>85.4</v>
      </c>
      <c r="M173">
        <v>43.2</v>
      </c>
      <c r="N173">
        <v>42.2</v>
      </c>
      <c r="O173">
        <v>1.1100000000000001</v>
      </c>
      <c r="P173" s="2">
        <v>66863</v>
      </c>
      <c r="Q173" t="s">
        <v>849</v>
      </c>
      <c r="R173" t="s">
        <v>850</v>
      </c>
      <c r="S173" t="s">
        <v>851</v>
      </c>
    </row>
    <row r="174" spans="1:19" s="53" customFormat="1" x14ac:dyDescent="0.25">
      <c r="A174" s="53">
        <v>4</v>
      </c>
      <c r="B174" s="53" t="s">
        <v>934</v>
      </c>
      <c r="C174" s="53">
        <v>38</v>
      </c>
      <c r="D174" s="53">
        <v>22</v>
      </c>
      <c r="E174" s="53">
        <v>7</v>
      </c>
      <c r="F174" s="53">
        <v>9</v>
      </c>
      <c r="G174" s="53">
        <v>65</v>
      </c>
      <c r="H174" s="53">
        <v>38</v>
      </c>
      <c r="I174" s="53">
        <v>27</v>
      </c>
      <c r="J174" s="53">
        <v>73</v>
      </c>
      <c r="K174" s="53">
        <v>1.92</v>
      </c>
      <c r="L174" s="53">
        <v>56</v>
      </c>
      <c r="M174" s="53">
        <v>48.3</v>
      </c>
      <c r="N174" s="53">
        <v>7.7</v>
      </c>
      <c r="O174" s="53">
        <v>0.2</v>
      </c>
      <c r="P174" s="54">
        <v>38607</v>
      </c>
      <c r="Q174" s="53" t="s">
        <v>37</v>
      </c>
      <c r="R174" s="53" t="s">
        <v>35</v>
      </c>
      <c r="S174" s="53" t="s">
        <v>36</v>
      </c>
    </row>
    <row r="175" spans="1:19" x14ac:dyDescent="0.25">
      <c r="A175">
        <v>5</v>
      </c>
      <c r="B175" t="s">
        <v>930</v>
      </c>
      <c r="C175">
        <v>38</v>
      </c>
      <c r="D175">
        <v>18</v>
      </c>
      <c r="E175">
        <v>7</v>
      </c>
      <c r="F175">
        <v>13</v>
      </c>
      <c r="G175">
        <v>57</v>
      </c>
      <c r="H175">
        <v>50</v>
      </c>
      <c r="I175">
        <v>7</v>
      </c>
      <c r="J175">
        <v>61</v>
      </c>
      <c r="K175">
        <v>1.61</v>
      </c>
      <c r="L175">
        <v>53.3</v>
      </c>
      <c r="M175">
        <v>53.4</v>
      </c>
      <c r="N175">
        <v>-0.1</v>
      </c>
      <c r="O175">
        <v>0</v>
      </c>
      <c r="P175" s="2">
        <v>16779</v>
      </c>
      <c r="Q175" t="s">
        <v>852</v>
      </c>
      <c r="R175" t="s">
        <v>782</v>
      </c>
      <c r="S175" t="s">
        <v>40</v>
      </c>
    </row>
    <row r="176" spans="1:19" x14ac:dyDescent="0.25">
      <c r="A176">
        <v>6</v>
      </c>
      <c r="B176" t="s">
        <v>940</v>
      </c>
      <c r="C176">
        <v>38</v>
      </c>
      <c r="D176">
        <v>18</v>
      </c>
      <c r="E176">
        <v>6</v>
      </c>
      <c r="F176">
        <v>14</v>
      </c>
      <c r="G176">
        <v>60</v>
      </c>
      <c r="H176">
        <v>61</v>
      </c>
      <c r="I176">
        <v>-1</v>
      </c>
      <c r="J176">
        <v>60</v>
      </c>
      <c r="K176">
        <v>1.58</v>
      </c>
      <c r="L176">
        <v>46</v>
      </c>
      <c r="M176">
        <v>49</v>
      </c>
      <c r="N176">
        <v>-3.1</v>
      </c>
      <c r="O176">
        <v>-0.08</v>
      </c>
      <c r="P176" s="2">
        <v>46781</v>
      </c>
      <c r="Q176" t="s">
        <v>853</v>
      </c>
      <c r="R176" t="s">
        <v>854</v>
      </c>
      <c r="S176" t="s">
        <v>780</v>
      </c>
    </row>
    <row r="177" spans="1:19" x14ac:dyDescent="0.25">
      <c r="A177">
        <v>7</v>
      </c>
      <c r="B177" t="s">
        <v>929</v>
      </c>
      <c r="C177">
        <v>38</v>
      </c>
      <c r="D177">
        <v>17</v>
      </c>
      <c r="E177">
        <v>7</v>
      </c>
      <c r="F177">
        <v>14</v>
      </c>
      <c r="G177">
        <v>49</v>
      </c>
      <c r="H177">
        <v>58</v>
      </c>
      <c r="I177">
        <v>-9</v>
      </c>
      <c r="J177">
        <v>58</v>
      </c>
      <c r="K177">
        <v>1.53</v>
      </c>
      <c r="L177">
        <v>59.5</v>
      </c>
      <c r="M177">
        <v>54.4</v>
      </c>
      <c r="N177">
        <v>5.2</v>
      </c>
      <c r="O177">
        <v>0.14000000000000001</v>
      </c>
      <c r="P177" s="2">
        <v>33006</v>
      </c>
      <c r="Q177" t="s">
        <v>855</v>
      </c>
      <c r="R177" t="s">
        <v>856</v>
      </c>
      <c r="S177" t="s">
        <v>40</v>
      </c>
    </row>
    <row r="178" spans="1:19" x14ac:dyDescent="0.25">
      <c r="A178">
        <v>8</v>
      </c>
      <c r="B178" t="s">
        <v>933</v>
      </c>
      <c r="C178">
        <v>38</v>
      </c>
      <c r="D178">
        <v>15</v>
      </c>
      <c r="E178">
        <v>10</v>
      </c>
      <c r="F178">
        <v>13</v>
      </c>
      <c r="G178">
        <v>42</v>
      </c>
      <c r="H178">
        <v>33</v>
      </c>
      <c r="I178">
        <v>9</v>
      </c>
      <c r="J178">
        <v>55</v>
      </c>
      <c r="K178">
        <v>1.45</v>
      </c>
      <c r="L178">
        <v>48.2</v>
      </c>
      <c r="M178">
        <v>39.700000000000003</v>
      </c>
      <c r="N178">
        <v>8.5</v>
      </c>
      <c r="O178">
        <v>0.22</v>
      </c>
      <c r="P178" s="2">
        <v>10428</v>
      </c>
      <c r="Q178" t="s">
        <v>857</v>
      </c>
      <c r="R178" t="s">
        <v>41</v>
      </c>
    </row>
    <row r="179" spans="1:19" x14ac:dyDescent="0.25">
      <c r="A179">
        <v>9</v>
      </c>
      <c r="B179" t="s">
        <v>939</v>
      </c>
      <c r="C179">
        <v>38</v>
      </c>
      <c r="D179">
        <v>14</v>
      </c>
      <c r="E179">
        <v>9</v>
      </c>
      <c r="F179">
        <v>15</v>
      </c>
      <c r="G179">
        <v>44</v>
      </c>
      <c r="H179">
        <v>50</v>
      </c>
      <c r="I179">
        <v>-6</v>
      </c>
      <c r="J179">
        <v>51</v>
      </c>
      <c r="K179">
        <v>1.34</v>
      </c>
      <c r="L179">
        <v>40.9</v>
      </c>
      <c r="M179">
        <v>44.4</v>
      </c>
      <c r="N179">
        <v>-3.5</v>
      </c>
      <c r="O179">
        <v>-0.09</v>
      </c>
      <c r="P179" s="2">
        <v>5338</v>
      </c>
      <c r="Q179" t="s">
        <v>858</v>
      </c>
      <c r="R179" t="s">
        <v>795</v>
      </c>
    </row>
    <row r="180" spans="1:19" x14ac:dyDescent="0.25">
      <c r="A180">
        <v>10</v>
      </c>
      <c r="B180" t="s">
        <v>946</v>
      </c>
      <c r="C180">
        <v>38</v>
      </c>
      <c r="D180">
        <v>14</v>
      </c>
      <c r="E180">
        <v>9</v>
      </c>
      <c r="F180">
        <v>15</v>
      </c>
      <c r="G180">
        <v>50</v>
      </c>
      <c r="H180">
        <v>59</v>
      </c>
      <c r="I180">
        <v>-9</v>
      </c>
      <c r="J180">
        <v>51</v>
      </c>
      <c r="K180">
        <v>1.34</v>
      </c>
      <c r="L180">
        <v>50.6</v>
      </c>
      <c r="M180">
        <v>50.4</v>
      </c>
      <c r="N180">
        <v>0.2</v>
      </c>
      <c r="O180">
        <v>0.01</v>
      </c>
      <c r="P180" s="2">
        <v>10424</v>
      </c>
      <c r="Q180" t="s">
        <v>859</v>
      </c>
      <c r="R180" t="s">
        <v>605</v>
      </c>
    </row>
    <row r="181" spans="1:19" x14ac:dyDescent="0.25">
      <c r="A181">
        <v>11</v>
      </c>
      <c r="B181" t="s">
        <v>945</v>
      </c>
      <c r="C181">
        <v>38</v>
      </c>
      <c r="D181">
        <v>12</v>
      </c>
      <c r="E181">
        <v>13</v>
      </c>
      <c r="F181">
        <v>13</v>
      </c>
      <c r="G181">
        <v>36</v>
      </c>
      <c r="H181">
        <v>42</v>
      </c>
      <c r="I181">
        <v>-6</v>
      </c>
      <c r="J181">
        <v>49</v>
      </c>
      <c r="K181">
        <v>1.29</v>
      </c>
      <c r="L181">
        <v>41.1</v>
      </c>
      <c r="M181">
        <v>52.3</v>
      </c>
      <c r="N181">
        <v>-11.1</v>
      </c>
      <c r="O181">
        <v>-0.28999999999999998</v>
      </c>
      <c r="P181" s="2">
        <v>17882</v>
      </c>
      <c r="Q181" t="s">
        <v>860</v>
      </c>
      <c r="R181" t="s">
        <v>831</v>
      </c>
    </row>
    <row r="182" spans="1:19" s="55" customFormat="1" x14ac:dyDescent="0.25">
      <c r="A182" s="55">
        <v>12</v>
      </c>
      <c r="B182" s="55" t="s">
        <v>931</v>
      </c>
      <c r="C182" s="55">
        <v>38</v>
      </c>
      <c r="D182" s="55">
        <v>14</v>
      </c>
      <c r="E182" s="55">
        <v>7</v>
      </c>
      <c r="F182" s="55">
        <v>17</v>
      </c>
      <c r="G182" s="55">
        <v>66</v>
      </c>
      <c r="H182" s="55">
        <v>59</v>
      </c>
      <c r="I182" s="55">
        <v>7</v>
      </c>
      <c r="J182" s="55">
        <v>49</v>
      </c>
      <c r="K182" s="55">
        <v>1.29</v>
      </c>
      <c r="L182" s="55">
        <v>53.7</v>
      </c>
      <c r="M182" s="55">
        <v>50.5</v>
      </c>
      <c r="N182" s="55">
        <v>3.1</v>
      </c>
      <c r="O182" s="55">
        <v>0.08</v>
      </c>
      <c r="P182" s="56">
        <v>19793</v>
      </c>
      <c r="Q182" s="55" t="s">
        <v>861</v>
      </c>
      <c r="R182" s="55" t="s">
        <v>753</v>
      </c>
    </row>
    <row r="183" spans="1:19" x14ac:dyDescent="0.25">
      <c r="A183">
        <v>13</v>
      </c>
      <c r="B183" t="s">
        <v>942</v>
      </c>
      <c r="C183">
        <v>38</v>
      </c>
      <c r="D183">
        <v>13</v>
      </c>
      <c r="E183">
        <v>10</v>
      </c>
      <c r="F183">
        <v>15</v>
      </c>
      <c r="G183">
        <v>59</v>
      </c>
      <c r="H183">
        <v>60</v>
      </c>
      <c r="I183">
        <v>-1</v>
      </c>
      <c r="J183">
        <v>49</v>
      </c>
      <c r="K183">
        <v>1.29</v>
      </c>
      <c r="L183">
        <v>55</v>
      </c>
      <c r="M183">
        <v>55.3</v>
      </c>
      <c r="N183">
        <v>-0.3</v>
      </c>
      <c r="O183">
        <v>-0.01</v>
      </c>
      <c r="P183" s="2">
        <v>16195</v>
      </c>
      <c r="Q183" t="s">
        <v>862</v>
      </c>
      <c r="R183" t="s">
        <v>815</v>
      </c>
    </row>
    <row r="184" spans="1:19" x14ac:dyDescent="0.25">
      <c r="A184">
        <v>14</v>
      </c>
      <c r="B184" t="s">
        <v>941</v>
      </c>
      <c r="C184">
        <v>38</v>
      </c>
      <c r="D184">
        <v>15</v>
      </c>
      <c r="E184">
        <v>2</v>
      </c>
      <c r="F184">
        <v>21</v>
      </c>
      <c r="G184">
        <v>40</v>
      </c>
      <c r="H184">
        <v>50</v>
      </c>
      <c r="I184">
        <v>-10</v>
      </c>
      <c r="J184">
        <v>47</v>
      </c>
      <c r="K184">
        <v>1.24</v>
      </c>
      <c r="L184">
        <v>38.5</v>
      </c>
      <c r="M184">
        <v>55.9</v>
      </c>
      <c r="N184">
        <v>-17.399999999999999</v>
      </c>
      <c r="O184">
        <v>-0.46</v>
      </c>
      <c r="P184" s="2">
        <v>18845</v>
      </c>
      <c r="Q184" t="s">
        <v>863</v>
      </c>
      <c r="R184" t="s">
        <v>619</v>
      </c>
    </row>
    <row r="185" spans="1:19" x14ac:dyDescent="0.25">
      <c r="A185">
        <v>15</v>
      </c>
      <c r="B185" t="s">
        <v>937</v>
      </c>
      <c r="C185">
        <v>38</v>
      </c>
      <c r="D185">
        <v>11</v>
      </c>
      <c r="E185">
        <v>13</v>
      </c>
      <c r="F185">
        <v>14</v>
      </c>
      <c r="G185">
        <v>44</v>
      </c>
      <c r="H185">
        <v>58</v>
      </c>
      <c r="I185">
        <v>-14</v>
      </c>
      <c r="J185">
        <v>46</v>
      </c>
      <c r="K185">
        <v>1.21</v>
      </c>
      <c r="L185">
        <v>44.7</v>
      </c>
      <c r="M185">
        <v>63.6</v>
      </c>
      <c r="N185">
        <v>-18.8</v>
      </c>
      <c r="O185">
        <v>-0.5</v>
      </c>
      <c r="P185" s="2">
        <v>18534</v>
      </c>
      <c r="Q185" t="s">
        <v>864</v>
      </c>
      <c r="R185" t="s">
        <v>837</v>
      </c>
    </row>
    <row r="186" spans="1:19" x14ac:dyDescent="0.25">
      <c r="A186">
        <v>16</v>
      </c>
      <c r="B186" t="s">
        <v>936</v>
      </c>
      <c r="C186">
        <v>38</v>
      </c>
      <c r="D186">
        <v>10</v>
      </c>
      <c r="E186">
        <v>13</v>
      </c>
      <c r="F186">
        <v>15</v>
      </c>
      <c r="G186">
        <v>41</v>
      </c>
      <c r="H186">
        <v>49</v>
      </c>
      <c r="I186">
        <v>-8</v>
      </c>
      <c r="J186">
        <v>43</v>
      </c>
      <c r="K186">
        <v>1.1299999999999999</v>
      </c>
      <c r="L186">
        <v>49.7</v>
      </c>
      <c r="M186">
        <v>50.3</v>
      </c>
      <c r="N186">
        <v>-0.6</v>
      </c>
      <c r="O186">
        <v>-0.02</v>
      </c>
      <c r="P186" s="2">
        <v>37246</v>
      </c>
      <c r="Q186" t="s">
        <v>865</v>
      </c>
      <c r="R186" t="s">
        <v>866</v>
      </c>
    </row>
    <row r="187" spans="1:19" x14ac:dyDescent="0.25">
      <c r="A187">
        <v>17</v>
      </c>
      <c r="B187" t="s">
        <v>943</v>
      </c>
      <c r="C187">
        <v>38</v>
      </c>
      <c r="D187">
        <v>12</v>
      </c>
      <c r="E187">
        <v>7</v>
      </c>
      <c r="F187">
        <v>19</v>
      </c>
      <c r="G187">
        <v>34</v>
      </c>
      <c r="H187">
        <v>51</v>
      </c>
      <c r="I187">
        <v>-17</v>
      </c>
      <c r="J187">
        <v>43</v>
      </c>
      <c r="K187">
        <v>1.1299999999999999</v>
      </c>
      <c r="L187">
        <v>39.9</v>
      </c>
      <c r="M187">
        <v>47.6</v>
      </c>
      <c r="N187">
        <v>-7.6</v>
      </c>
      <c r="O187">
        <v>-0.2</v>
      </c>
      <c r="P187" s="2">
        <v>9969</v>
      </c>
      <c r="Q187" t="s">
        <v>867</v>
      </c>
      <c r="R187" t="s">
        <v>817</v>
      </c>
    </row>
    <row r="188" spans="1:19" x14ac:dyDescent="0.25">
      <c r="A188">
        <v>18</v>
      </c>
      <c r="B188" t="s">
        <v>949</v>
      </c>
      <c r="C188">
        <v>38</v>
      </c>
      <c r="D188">
        <v>6</v>
      </c>
      <c r="E188">
        <v>11</v>
      </c>
      <c r="F188">
        <v>21</v>
      </c>
      <c r="G188">
        <v>38</v>
      </c>
      <c r="H188">
        <v>76</v>
      </c>
      <c r="I188">
        <v>-38</v>
      </c>
      <c r="J188">
        <v>29</v>
      </c>
      <c r="K188">
        <v>0.76</v>
      </c>
      <c r="L188">
        <v>51.6</v>
      </c>
      <c r="M188">
        <v>58.7</v>
      </c>
      <c r="N188">
        <v>-7.1</v>
      </c>
      <c r="O188">
        <v>-0.19</v>
      </c>
      <c r="P188" s="2">
        <v>20542</v>
      </c>
      <c r="Q188" t="s">
        <v>868</v>
      </c>
      <c r="R188" t="s">
        <v>869</v>
      </c>
      <c r="S188" t="s">
        <v>617</v>
      </c>
    </row>
    <row r="189" spans="1:19" x14ac:dyDescent="0.25">
      <c r="A189">
        <v>19</v>
      </c>
      <c r="B189" t="s">
        <v>950</v>
      </c>
      <c r="C189">
        <v>38</v>
      </c>
      <c r="D189">
        <v>5</v>
      </c>
      <c r="E189">
        <v>7</v>
      </c>
      <c r="F189">
        <v>26</v>
      </c>
      <c r="G189">
        <v>24</v>
      </c>
      <c r="H189">
        <v>74</v>
      </c>
      <c r="I189">
        <v>-50</v>
      </c>
      <c r="J189">
        <v>22</v>
      </c>
      <c r="K189">
        <v>0.57999999999999996</v>
      </c>
      <c r="L189">
        <v>38.5</v>
      </c>
      <c r="M189">
        <v>70.5</v>
      </c>
      <c r="N189">
        <v>-32</v>
      </c>
      <c r="O189">
        <v>-0.84</v>
      </c>
      <c r="P189" s="2">
        <v>16183</v>
      </c>
      <c r="Q189" t="s">
        <v>832</v>
      </c>
      <c r="R189" t="s">
        <v>870</v>
      </c>
      <c r="S189" t="s">
        <v>617</v>
      </c>
    </row>
    <row r="190" spans="1:19" x14ac:dyDescent="0.25">
      <c r="A190">
        <v>20</v>
      </c>
      <c r="B190" t="s">
        <v>951</v>
      </c>
      <c r="C190">
        <v>38</v>
      </c>
      <c r="D190">
        <v>5</v>
      </c>
      <c r="E190">
        <v>5</v>
      </c>
      <c r="F190">
        <v>28</v>
      </c>
      <c r="G190">
        <v>24</v>
      </c>
      <c r="H190">
        <v>61</v>
      </c>
      <c r="I190">
        <v>-37</v>
      </c>
      <c r="J190">
        <v>20</v>
      </c>
      <c r="K190">
        <v>0.53</v>
      </c>
      <c r="L190">
        <v>38.4</v>
      </c>
      <c r="M190">
        <v>59.4</v>
      </c>
      <c r="N190">
        <v>-21</v>
      </c>
      <c r="O190">
        <v>-0.55000000000000004</v>
      </c>
      <c r="P190" s="2">
        <v>20333</v>
      </c>
      <c r="Q190" t="s">
        <v>871</v>
      </c>
    </row>
    <row r="192" spans="1:19" s="36" customFormat="1" x14ac:dyDescent="0.25">
      <c r="A192" s="36" t="s">
        <v>872</v>
      </c>
    </row>
    <row r="194" spans="1:15" x14ac:dyDescent="0.25">
      <c r="A194" t="s">
        <v>577</v>
      </c>
      <c r="B194" t="s">
        <v>15</v>
      </c>
      <c r="C194" t="s">
        <v>17</v>
      </c>
      <c r="D194" t="s">
        <v>18</v>
      </c>
      <c r="E194" t="s">
        <v>4</v>
      </c>
      <c r="F194" t="s">
        <v>19</v>
      </c>
      <c r="G194" t="s">
        <v>20</v>
      </c>
      <c r="H194" t="s">
        <v>21</v>
      </c>
      <c r="I194" t="s">
        <v>22</v>
      </c>
      <c r="J194" t="s">
        <v>23</v>
      </c>
      <c r="K194" t="s">
        <v>578</v>
      </c>
      <c r="L194" t="s">
        <v>24</v>
      </c>
      <c r="M194" t="s">
        <v>25</v>
      </c>
      <c r="N194" t="s">
        <v>26</v>
      </c>
      <c r="O194" t="s">
        <v>27</v>
      </c>
    </row>
    <row r="195" spans="1:15" x14ac:dyDescent="0.25">
      <c r="A195">
        <v>1</v>
      </c>
      <c r="B195" t="s">
        <v>926</v>
      </c>
      <c r="C195">
        <v>38</v>
      </c>
      <c r="D195">
        <v>29</v>
      </c>
      <c r="E195">
        <v>6</v>
      </c>
      <c r="F195">
        <v>3</v>
      </c>
      <c r="G195">
        <v>106</v>
      </c>
      <c r="H195">
        <v>41</v>
      </c>
      <c r="I195">
        <v>65</v>
      </c>
      <c r="J195">
        <v>93</v>
      </c>
      <c r="K195">
        <v>2.4500000000000002</v>
      </c>
      <c r="L195" s="2">
        <v>71977</v>
      </c>
      <c r="M195" t="s">
        <v>873</v>
      </c>
      <c r="N195" t="s">
        <v>850</v>
      </c>
      <c r="O195" t="s">
        <v>851</v>
      </c>
    </row>
    <row r="196" spans="1:15" x14ac:dyDescent="0.25">
      <c r="A196">
        <v>2</v>
      </c>
      <c r="B196" t="s">
        <v>927</v>
      </c>
      <c r="C196">
        <v>38</v>
      </c>
      <c r="D196">
        <v>28</v>
      </c>
      <c r="E196">
        <v>6</v>
      </c>
      <c r="F196">
        <v>4</v>
      </c>
      <c r="G196">
        <v>116</v>
      </c>
      <c r="H196">
        <v>37</v>
      </c>
      <c r="I196">
        <v>79</v>
      </c>
      <c r="J196">
        <v>90</v>
      </c>
      <c r="K196">
        <v>2.37</v>
      </c>
      <c r="L196" s="2">
        <v>78678</v>
      </c>
      <c r="M196" t="s">
        <v>874</v>
      </c>
      <c r="N196" t="s">
        <v>582</v>
      </c>
      <c r="O196" t="s">
        <v>36</v>
      </c>
    </row>
    <row r="197" spans="1:15" x14ac:dyDescent="0.25">
      <c r="A197">
        <v>3</v>
      </c>
      <c r="B197" t="s">
        <v>928</v>
      </c>
      <c r="C197">
        <v>38</v>
      </c>
      <c r="D197">
        <v>23</v>
      </c>
      <c r="E197">
        <v>9</v>
      </c>
      <c r="F197">
        <v>6</v>
      </c>
      <c r="G197">
        <v>70</v>
      </c>
      <c r="H197">
        <v>27</v>
      </c>
      <c r="I197">
        <v>43</v>
      </c>
      <c r="J197">
        <v>78</v>
      </c>
      <c r="K197">
        <v>2.0499999999999998</v>
      </c>
      <c r="L197" s="2">
        <v>44737</v>
      </c>
      <c r="M197" t="s">
        <v>717</v>
      </c>
      <c r="N197" t="s">
        <v>586</v>
      </c>
      <c r="O197" t="s">
        <v>36</v>
      </c>
    </row>
    <row r="198" spans="1:15" x14ac:dyDescent="0.25">
      <c r="A198">
        <v>4</v>
      </c>
      <c r="B198" t="s">
        <v>929</v>
      </c>
      <c r="C198">
        <v>38</v>
      </c>
      <c r="D198">
        <v>21</v>
      </c>
      <c r="E198">
        <v>9</v>
      </c>
      <c r="F198">
        <v>8</v>
      </c>
      <c r="G198">
        <v>69</v>
      </c>
      <c r="H198">
        <v>49</v>
      </c>
      <c r="I198">
        <v>20</v>
      </c>
      <c r="J198">
        <v>72</v>
      </c>
      <c r="K198">
        <v>1.89</v>
      </c>
      <c r="L198" s="2">
        <v>32783</v>
      </c>
      <c r="M198" t="s">
        <v>875</v>
      </c>
      <c r="N198" t="s">
        <v>856</v>
      </c>
      <c r="O198" t="s">
        <v>36</v>
      </c>
    </row>
    <row r="199" spans="1:15" x14ac:dyDescent="0.25">
      <c r="A199">
        <v>5</v>
      </c>
      <c r="B199" t="s">
        <v>930</v>
      </c>
      <c r="C199">
        <v>38</v>
      </c>
      <c r="D199">
        <v>19</v>
      </c>
      <c r="E199">
        <v>10</v>
      </c>
      <c r="F199">
        <v>9</v>
      </c>
      <c r="G199">
        <v>56</v>
      </c>
      <c r="H199">
        <v>33</v>
      </c>
      <c r="I199">
        <v>23</v>
      </c>
      <c r="J199">
        <v>67</v>
      </c>
      <c r="K199">
        <v>1.76</v>
      </c>
      <c r="L199" s="2">
        <v>17870</v>
      </c>
      <c r="M199" t="s">
        <v>876</v>
      </c>
      <c r="N199" t="s">
        <v>782</v>
      </c>
      <c r="O199" t="s">
        <v>40</v>
      </c>
    </row>
    <row r="200" spans="1:15" s="55" customFormat="1" x14ac:dyDescent="0.25">
      <c r="A200" s="55">
        <v>6</v>
      </c>
      <c r="B200" s="55" t="s">
        <v>931</v>
      </c>
      <c r="C200" s="55">
        <v>38</v>
      </c>
      <c r="D200" s="55">
        <v>19</v>
      </c>
      <c r="E200" s="55">
        <v>7</v>
      </c>
      <c r="F200" s="55">
        <v>12</v>
      </c>
      <c r="G200" s="55">
        <v>59</v>
      </c>
      <c r="H200" s="55">
        <v>53</v>
      </c>
      <c r="I200" s="55">
        <v>6</v>
      </c>
      <c r="J200" s="55">
        <v>64</v>
      </c>
      <c r="K200" s="55">
        <v>1.68</v>
      </c>
      <c r="L200" s="56">
        <v>21473</v>
      </c>
      <c r="M200" s="55" t="s">
        <v>877</v>
      </c>
      <c r="N200" s="55" t="s">
        <v>753</v>
      </c>
      <c r="O200" s="55" t="s">
        <v>780</v>
      </c>
    </row>
    <row r="201" spans="1:15" x14ac:dyDescent="0.25">
      <c r="A201">
        <v>7</v>
      </c>
      <c r="B201" t="s">
        <v>936</v>
      </c>
      <c r="C201">
        <v>38</v>
      </c>
      <c r="D201">
        <v>19</v>
      </c>
      <c r="E201">
        <v>6</v>
      </c>
      <c r="F201">
        <v>13</v>
      </c>
      <c r="G201">
        <v>53</v>
      </c>
      <c r="H201">
        <v>43</v>
      </c>
      <c r="I201">
        <v>10</v>
      </c>
      <c r="J201">
        <v>63</v>
      </c>
      <c r="K201">
        <v>1.66</v>
      </c>
      <c r="L201" s="2">
        <v>40948</v>
      </c>
      <c r="M201" t="s">
        <v>878</v>
      </c>
      <c r="N201" t="s">
        <v>866</v>
      </c>
      <c r="O201" t="s">
        <v>40</v>
      </c>
    </row>
    <row r="202" spans="1:15" x14ac:dyDescent="0.25">
      <c r="A202">
        <v>8</v>
      </c>
      <c r="B202" t="s">
        <v>945</v>
      </c>
      <c r="C202">
        <v>38</v>
      </c>
      <c r="D202">
        <v>15</v>
      </c>
      <c r="E202">
        <v>11</v>
      </c>
      <c r="F202">
        <v>12</v>
      </c>
      <c r="G202">
        <v>49</v>
      </c>
      <c r="H202">
        <v>50</v>
      </c>
      <c r="I202">
        <v>-1</v>
      </c>
      <c r="J202">
        <v>56</v>
      </c>
      <c r="K202">
        <v>1.47</v>
      </c>
      <c r="L202" s="2">
        <v>20433</v>
      </c>
      <c r="M202" t="s">
        <v>879</v>
      </c>
      <c r="N202" t="s">
        <v>762</v>
      </c>
    </row>
    <row r="203" spans="1:15" x14ac:dyDescent="0.25">
      <c r="A203">
        <v>9</v>
      </c>
      <c r="B203" t="s">
        <v>941</v>
      </c>
      <c r="C203">
        <v>38</v>
      </c>
      <c r="D203">
        <v>14</v>
      </c>
      <c r="E203">
        <v>13</v>
      </c>
      <c r="F203">
        <v>11</v>
      </c>
      <c r="G203">
        <v>41</v>
      </c>
      <c r="H203">
        <v>43</v>
      </c>
      <c r="I203">
        <v>-2</v>
      </c>
      <c r="J203">
        <v>55</v>
      </c>
      <c r="K203">
        <v>1.45</v>
      </c>
      <c r="L203" s="2">
        <v>18143</v>
      </c>
      <c r="M203" t="s">
        <v>880</v>
      </c>
      <c r="N203" t="s">
        <v>619</v>
      </c>
    </row>
    <row r="204" spans="1:15" x14ac:dyDescent="0.25">
      <c r="A204">
        <v>10</v>
      </c>
      <c r="B204" t="s">
        <v>939</v>
      </c>
      <c r="C204">
        <v>38</v>
      </c>
      <c r="D204">
        <v>15</v>
      </c>
      <c r="E204">
        <v>9</v>
      </c>
      <c r="F204">
        <v>14</v>
      </c>
      <c r="G204">
        <v>56</v>
      </c>
      <c r="H204">
        <v>51</v>
      </c>
      <c r="I204">
        <v>5</v>
      </c>
      <c r="J204">
        <v>54</v>
      </c>
      <c r="K204">
        <v>1.42</v>
      </c>
      <c r="L204" s="2">
        <v>5326</v>
      </c>
      <c r="M204" t="s">
        <v>881</v>
      </c>
      <c r="N204" t="s">
        <v>882</v>
      </c>
    </row>
    <row r="205" spans="1:15" x14ac:dyDescent="0.25">
      <c r="A205">
        <v>11</v>
      </c>
      <c r="B205" t="s">
        <v>951</v>
      </c>
      <c r="C205">
        <v>38</v>
      </c>
      <c r="D205">
        <v>12</v>
      </c>
      <c r="E205">
        <v>10</v>
      </c>
      <c r="F205">
        <v>16</v>
      </c>
      <c r="G205">
        <v>49</v>
      </c>
      <c r="H205">
        <v>55</v>
      </c>
      <c r="I205">
        <v>-6</v>
      </c>
      <c r="J205">
        <v>46</v>
      </c>
      <c r="K205">
        <v>1.21</v>
      </c>
      <c r="L205" s="2">
        <v>22501</v>
      </c>
      <c r="M205" t="s">
        <v>883</v>
      </c>
      <c r="N205" t="s">
        <v>884</v>
      </c>
    </row>
    <row r="206" spans="1:15" s="53" customFormat="1" x14ac:dyDescent="0.25">
      <c r="A206" s="53">
        <v>12</v>
      </c>
      <c r="B206" s="53" t="s">
        <v>934</v>
      </c>
      <c r="C206" s="53">
        <v>38</v>
      </c>
      <c r="D206" s="53">
        <v>13</v>
      </c>
      <c r="E206" s="53">
        <v>7</v>
      </c>
      <c r="F206" s="53">
        <v>18</v>
      </c>
      <c r="G206" s="53">
        <v>56</v>
      </c>
      <c r="H206" s="53">
        <v>65</v>
      </c>
      <c r="I206" s="53">
        <v>-9</v>
      </c>
      <c r="J206" s="53">
        <v>46</v>
      </c>
      <c r="K206" s="53">
        <v>1.21</v>
      </c>
      <c r="L206" s="54">
        <v>33866</v>
      </c>
      <c r="M206" s="53" t="s">
        <v>885</v>
      </c>
      <c r="N206" s="53" t="s">
        <v>38</v>
      </c>
    </row>
    <row r="207" spans="1:15" x14ac:dyDescent="0.25">
      <c r="A207">
        <v>13</v>
      </c>
      <c r="B207" t="s">
        <v>942</v>
      </c>
      <c r="C207">
        <v>38</v>
      </c>
      <c r="D207">
        <v>13</v>
      </c>
      <c r="E207">
        <v>6</v>
      </c>
      <c r="F207">
        <v>19</v>
      </c>
      <c r="G207">
        <v>53</v>
      </c>
      <c r="H207">
        <v>69</v>
      </c>
      <c r="I207">
        <v>-16</v>
      </c>
      <c r="J207">
        <v>45</v>
      </c>
      <c r="K207">
        <v>1.18</v>
      </c>
      <c r="L207" s="2">
        <v>17028</v>
      </c>
      <c r="M207" t="s">
        <v>886</v>
      </c>
      <c r="N207" t="s">
        <v>887</v>
      </c>
    </row>
    <row r="208" spans="1:15" x14ac:dyDescent="0.25">
      <c r="A208">
        <v>14</v>
      </c>
      <c r="B208" t="s">
        <v>950</v>
      </c>
      <c r="C208">
        <v>38</v>
      </c>
      <c r="D208">
        <v>10</v>
      </c>
      <c r="E208">
        <v>9</v>
      </c>
      <c r="F208">
        <v>19</v>
      </c>
      <c r="G208">
        <v>53</v>
      </c>
      <c r="H208">
        <v>74</v>
      </c>
      <c r="I208">
        <v>-21</v>
      </c>
      <c r="J208">
        <v>39</v>
      </c>
      <c r="K208">
        <v>1.03</v>
      </c>
      <c r="L208" s="2">
        <v>20458</v>
      </c>
      <c r="M208" t="s">
        <v>888</v>
      </c>
      <c r="N208" t="s">
        <v>889</v>
      </c>
    </row>
    <row r="209" spans="1:15" x14ac:dyDescent="0.25">
      <c r="A209">
        <v>15</v>
      </c>
      <c r="B209" t="s">
        <v>940</v>
      </c>
      <c r="C209">
        <v>38</v>
      </c>
      <c r="D209">
        <v>10</v>
      </c>
      <c r="E209">
        <v>9</v>
      </c>
      <c r="F209">
        <v>19</v>
      </c>
      <c r="G209">
        <v>41</v>
      </c>
      <c r="H209">
        <v>64</v>
      </c>
      <c r="I209">
        <v>-23</v>
      </c>
      <c r="J209">
        <v>39</v>
      </c>
      <c r="K209">
        <v>1.03</v>
      </c>
      <c r="L209" s="2">
        <v>33492</v>
      </c>
      <c r="M209" t="s">
        <v>890</v>
      </c>
      <c r="N209" t="s">
        <v>854</v>
      </c>
    </row>
    <row r="210" spans="1:15" x14ac:dyDescent="0.25">
      <c r="A210">
        <v>16</v>
      </c>
      <c r="B210" t="s">
        <v>949</v>
      </c>
      <c r="C210">
        <v>38</v>
      </c>
      <c r="D210">
        <v>8</v>
      </c>
      <c r="E210">
        <v>12</v>
      </c>
      <c r="F210">
        <v>18</v>
      </c>
      <c r="G210">
        <v>43</v>
      </c>
      <c r="H210">
        <v>61</v>
      </c>
      <c r="I210">
        <v>-18</v>
      </c>
      <c r="J210">
        <v>36</v>
      </c>
      <c r="K210">
        <v>0.95</v>
      </c>
      <c r="L210" s="2">
        <v>22521</v>
      </c>
      <c r="M210" t="s">
        <v>891</v>
      </c>
      <c r="N210" t="s">
        <v>892</v>
      </c>
    </row>
    <row r="211" spans="1:15" x14ac:dyDescent="0.25">
      <c r="A211">
        <v>17</v>
      </c>
      <c r="B211" t="s">
        <v>943</v>
      </c>
      <c r="C211">
        <v>38</v>
      </c>
      <c r="D211">
        <v>8</v>
      </c>
      <c r="E211">
        <v>11</v>
      </c>
      <c r="F211">
        <v>19</v>
      </c>
      <c r="G211">
        <v>36</v>
      </c>
      <c r="H211">
        <v>55</v>
      </c>
      <c r="I211">
        <v>-19</v>
      </c>
      <c r="J211">
        <v>35</v>
      </c>
      <c r="K211">
        <v>0.92</v>
      </c>
      <c r="L211" s="2">
        <v>10182</v>
      </c>
      <c r="M211" t="s">
        <v>893</v>
      </c>
      <c r="N211" t="s">
        <v>828</v>
      </c>
    </row>
    <row r="212" spans="1:15" x14ac:dyDescent="0.25">
      <c r="A212">
        <v>18</v>
      </c>
      <c r="B212" t="s">
        <v>952</v>
      </c>
      <c r="C212">
        <v>38</v>
      </c>
      <c r="D212">
        <v>7</v>
      </c>
      <c r="E212">
        <v>10</v>
      </c>
      <c r="F212">
        <v>21</v>
      </c>
      <c r="G212">
        <v>42</v>
      </c>
      <c r="H212">
        <v>72</v>
      </c>
      <c r="I212">
        <v>-30</v>
      </c>
      <c r="J212">
        <v>31</v>
      </c>
      <c r="K212">
        <v>0.82</v>
      </c>
      <c r="L212" s="2">
        <v>23069</v>
      </c>
      <c r="M212" t="s">
        <v>894</v>
      </c>
      <c r="N212" t="s">
        <v>817</v>
      </c>
      <c r="O212" t="s">
        <v>617</v>
      </c>
    </row>
    <row r="213" spans="1:15" x14ac:dyDescent="0.25">
      <c r="A213">
        <v>19</v>
      </c>
      <c r="B213" t="s">
        <v>935</v>
      </c>
      <c r="C213">
        <v>38</v>
      </c>
      <c r="D213">
        <v>4</v>
      </c>
      <c r="E213">
        <v>10</v>
      </c>
      <c r="F213">
        <v>24</v>
      </c>
      <c r="G213">
        <v>40</v>
      </c>
      <c r="H213">
        <v>94</v>
      </c>
      <c r="I213">
        <v>-54</v>
      </c>
      <c r="J213">
        <v>22</v>
      </c>
      <c r="K213">
        <v>0.57999999999999996</v>
      </c>
      <c r="L213" s="2">
        <v>14770</v>
      </c>
      <c r="M213" t="s">
        <v>895</v>
      </c>
      <c r="N213" t="s">
        <v>896</v>
      </c>
      <c r="O213" t="s">
        <v>617</v>
      </c>
    </row>
    <row r="214" spans="1:15" x14ac:dyDescent="0.25">
      <c r="A214">
        <v>20</v>
      </c>
      <c r="B214" t="s">
        <v>932</v>
      </c>
      <c r="C214">
        <v>38</v>
      </c>
      <c r="D214">
        <v>4</v>
      </c>
      <c r="E214">
        <v>8</v>
      </c>
      <c r="F214">
        <v>26</v>
      </c>
      <c r="G214">
        <v>30</v>
      </c>
      <c r="H214">
        <v>82</v>
      </c>
      <c r="I214">
        <v>-52</v>
      </c>
      <c r="J214">
        <v>20</v>
      </c>
      <c r="K214">
        <v>0.53</v>
      </c>
      <c r="L214" s="2">
        <v>14890</v>
      </c>
      <c r="M214" t="s">
        <v>897</v>
      </c>
      <c r="N214" t="s">
        <v>898</v>
      </c>
    </row>
    <row r="216" spans="1:15" s="36" customFormat="1" x14ac:dyDescent="0.25">
      <c r="A216" s="36" t="s">
        <v>899</v>
      </c>
    </row>
    <row r="218" spans="1:15" x14ac:dyDescent="0.25">
      <c r="A218" t="s">
        <v>577</v>
      </c>
      <c r="B218" t="s">
        <v>15</v>
      </c>
      <c r="C218" t="s">
        <v>17</v>
      </c>
      <c r="D218" t="s">
        <v>18</v>
      </c>
      <c r="E218" t="s">
        <v>4</v>
      </c>
      <c r="F218" t="s">
        <v>19</v>
      </c>
      <c r="G218" t="s">
        <v>20</v>
      </c>
      <c r="H218" t="s">
        <v>21</v>
      </c>
      <c r="I218" t="s">
        <v>22</v>
      </c>
      <c r="J218" t="s">
        <v>23</v>
      </c>
      <c r="K218" t="s">
        <v>578</v>
      </c>
      <c r="L218" t="s">
        <v>24</v>
      </c>
      <c r="M218" t="s">
        <v>25</v>
      </c>
      <c r="N218" t="s">
        <v>26</v>
      </c>
      <c r="O218" t="s">
        <v>27</v>
      </c>
    </row>
    <row r="219" spans="1:15" x14ac:dyDescent="0.25">
      <c r="A219">
        <v>1</v>
      </c>
      <c r="B219" t="s">
        <v>927</v>
      </c>
      <c r="C219">
        <v>38</v>
      </c>
      <c r="D219">
        <v>29</v>
      </c>
      <c r="E219">
        <v>4</v>
      </c>
      <c r="F219">
        <v>5</v>
      </c>
      <c r="G219">
        <v>112</v>
      </c>
      <c r="H219">
        <v>29</v>
      </c>
      <c r="I219">
        <v>83</v>
      </c>
      <c r="J219">
        <v>91</v>
      </c>
      <c r="K219">
        <v>2.39</v>
      </c>
      <c r="L219" s="2">
        <v>74655</v>
      </c>
      <c r="M219" t="s">
        <v>900</v>
      </c>
      <c r="N219" t="s">
        <v>779</v>
      </c>
      <c r="O219" t="s">
        <v>36</v>
      </c>
    </row>
    <row r="220" spans="1:15" x14ac:dyDescent="0.25">
      <c r="A220">
        <v>2</v>
      </c>
      <c r="B220" t="s">
        <v>926</v>
      </c>
      <c r="C220">
        <v>38</v>
      </c>
      <c r="D220">
        <v>28</v>
      </c>
      <c r="E220">
        <v>6</v>
      </c>
      <c r="F220">
        <v>4</v>
      </c>
      <c r="G220">
        <v>110</v>
      </c>
      <c r="H220">
        <v>34</v>
      </c>
      <c r="I220">
        <v>76</v>
      </c>
      <c r="J220">
        <v>90</v>
      </c>
      <c r="K220">
        <v>2.37</v>
      </c>
      <c r="L220" s="2">
        <v>71265</v>
      </c>
      <c r="M220" t="s">
        <v>901</v>
      </c>
      <c r="N220" t="s">
        <v>850</v>
      </c>
      <c r="O220" t="s">
        <v>851</v>
      </c>
    </row>
    <row r="221" spans="1:15" x14ac:dyDescent="0.25">
      <c r="A221">
        <v>3</v>
      </c>
      <c r="B221" t="s">
        <v>928</v>
      </c>
      <c r="C221">
        <v>38</v>
      </c>
      <c r="D221">
        <v>28</v>
      </c>
      <c r="E221">
        <v>4</v>
      </c>
      <c r="F221">
        <v>6</v>
      </c>
      <c r="G221">
        <v>63</v>
      </c>
      <c r="H221">
        <v>18</v>
      </c>
      <c r="I221">
        <v>45</v>
      </c>
      <c r="J221">
        <v>88</v>
      </c>
      <c r="K221">
        <v>2.3199999999999998</v>
      </c>
      <c r="L221" s="2">
        <v>46902</v>
      </c>
      <c r="M221" t="s">
        <v>902</v>
      </c>
      <c r="N221" t="s">
        <v>586</v>
      </c>
      <c r="O221" t="s">
        <v>36</v>
      </c>
    </row>
    <row r="222" spans="1:15" x14ac:dyDescent="0.25">
      <c r="A222">
        <v>4</v>
      </c>
      <c r="B222" t="s">
        <v>930</v>
      </c>
      <c r="C222">
        <v>38</v>
      </c>
      <c r="D222">
        <v>18</v>
      </c>
      <c r="E222">
        <v>10</v>
      </c>
      <c r="F222">
        <v>10</v>
      </c>
      <c r="G222">
        <v>44</v>
      </c>
      <c r="H222">
        <v>35</v>
      </c>
      <c r="I222">
        <v>9</v>
      </c>
      <c r="J222">
        <v>64</v>
      </c>
      <c r="K222">
        <v>1.68</v>
      </c>
      <c r="L222" s="2">
        <v>17660</v>
      </c>
      <c r="M222" t="s">
        <v>903</v>
      </c>
      <c r="N222" t="s">
        <v>904</v>
      </c>
      <c r="O222" t="s">
        <v>36</v>
      </c>
    </row>
    <row r="223" spans="1:15" x14ac:dyDescent="0.25">
      <c r="A223">
        <v>5</v>
      </c>
      <c r="B223" t="s">
        <v>936</v>
      </c>
      <c r="C223">
        <v>38</v>
      </c>
      <c r="D223">
        <v>18</v>
      </c>
      <c r="E223">
        <v>8</v>
      </c>
      <c r="F223">
        <v>12</v>
      </c>
      <c r="G223">
        <v>58</v>
      </c>
      <c r="H223">
        <v>45</v>
      </c>
      <c r="I223">
        <v>13</v>
      </c>
      <c r="J223">
        <v>62</v>
      </c>
      <c r="K223">
        <v>1.63</v>
      </c>
      <c r="L223" s="2">
        <v>41917</v>
      </c>
      <c r="M223" t="s">
        <v>905</v>
      </c>
      <c r="N223" t="s">
        <v>906</v>
      </c>
      <c r="O223" t="s">
        <v>40</v>
      </c>
    </row>
    <row r="224" spans="1:15" x14ac:dyDescent="0.25">
      <c r="A224">
        <v>6</v>
      </c>
      <c r="B224" t="s">
        <v>942</v>
      </c>
      <c r="C224">
        <v>38</v>
      </c>
      <c r="D224">
        <v>17</v>
      </c>
      <c r="E224">
        <v>9</v>
      </c>
      <c r="F224">
        <v>12</v>
      </c>
      <c r="G224">
        <v>51</v>
      </c>
      <c r="H224">
        <v>59</v>
      </c>
      <c r="I224">
        <v>-8</v>
      </c>
      <c r="J224">
        <v>60</v>
      </c>
      <c r="K224">
        <v>1.58</v>
      </c>
      <c r="L224" s="2">
        <v>18382</v>
      </c>
      <c r="M224" t="s">
        <v>907</v>
      </c>
      <c r="N224" t="s">
        <v>887</v>
      </c>
      <c r="O224" t="s">
        <v>780</v>
      </c>
    </row>
    <row r="225" spans="1:15" x14ac:dyDescent="0.25">
      <c r="A225">
        <v>7</v>
      </c>
      <c r="B225" t="s">
        <v>929</v>
      </c>
      <c r="C225">
        <v>38</v>
      </c>
      <c r="D225">
        <v>14</v>
      </c>
      <c r="E225">
        <v>10</v>
      </c>
      <c r="F225">
        <v>14</v>
      </c>
      <c r="G225">
        <v>51</v>
      </c>
      <c r="H225">
        <v>50</v>
      </c>
      <c r="I225">
        <v>1</v>
      </c>
      <c r="J225">
        <v>52</v>
      </c>
      <c r="K225">
        <v>1.37</v>
      </c>
      <c r="L225" s="2">
        <v>33134</v>
      </c>
      <c r="M225" t="s">
        <v>908</v>
      </c>
      <c r="N225" t="s">
        <v>856</v>
      </c>
      <c r="O225" t="s">
        <v>848</v>
      </c>
    </row>
    <row r="226" spans="1:15" x14ac:dyDescent="0.25">
      <c r="A226">
        <v>8</v>
      </c>
      <c r="B226" t="s">
        <v>951</v>
      </c>
      <c r="C226">
        <v>38</v>
      </c>
      <c r="D226">
        <v>12</v>
      </c>
      <c r="E226">
        <v>12</v>
      </c>
      <c r="F226">
        <v>14</v>
      </c>
      <c r="G226">
        <v>38</v>
      </c>
      <c r="H226">
        <v>35</v>
      </c>
      <c r="I226">
        <v>3</v>
      </c>
      <c r="J226">
        <v>48</v>
      </c>
      <c r="K226">
        <v>1.26</v>
      </c>
      <c r="L226" s="2">
        <v>21401</v>
      </c>
      <c r="M226" t="s">
        <v>909</v>
      </c>
      <c r="N226" t="s">
        <v>884</v>
      </c>
    </row>
    <row r="227" spans="1:15" s="55" customFormat="1" x14ac:dyDescent="0.25">
      <c r="A227" s="55">
        <v>9</v>
      </c>
      <c r="B227" s="55" t="s">
        <v>931</v>
      </c>
      <c r="C227" s="55">
        <v>38</v>
      </c>
      <c r="D227" s="55">
        <v>13</v>
      </c>
      <c r="E227" s="55">
        <v>9</v>
      </c>
      <c r="F227" s="55">
        <v>16</v>
      </c>
      <c r="G227" s="55">
        <v>45</v>
      </c>
      <c r="H227" s="55">
        <v>48</v>
      </c>
      <c r="I227" s="55">
        <v>-3</v>
      </c>
      <c r="J227" s="55">
        <v>48</v>
      </c>
      <c r="K227" s="55">
        <v>1.26</v>
      </c>
      <c r="L227" s="56">
        <v>20603</v>
      </c>
      <c r="M227" s="55" t="s">
        <v>910</v>
      </c>
      <c r="N227" s="55" t="s">
        <v>753</v>
      </c>
    </row>
    <row r="228" spans="1:15" x14ac:dyDescent="0.25">
      <c r="A228">
        <v>10</v>
      </c>
      <c r="B228" t="s">
        <v>940</v>
      </c>
      <c r="C228">
        <v>38</v>
      </c>
      <c r="D228">
        <v>11</v>
      </c>
      <c r="E228">
        <v>12</v>
      </c>
      <c r="F228">
        <v>15</v>
      </c>
      <c r="G228">
        <v>34</v>
      </c>
      <c r="H228">
        <v>52</v>
      </c>
      <c r="I228">
        <v>-18</v>
      </c>
      <c r="J228">
        <v>45</v>
      </c>
      <c r="K228">
        <v>1.18</v>
      </c>
      <c r="L228" s="2">
        <v>37832</v>
      </c>
      <c r="M228" t="s">
        <v>911</v>
      </c>
      <c r="N228" t="s">
        <v>854</v>
      </c>
    </row>
    <row r="229" spans="1:15" x14ac:dyDescent="0.25">
      <c r="A229">
        <v>11</v>
      </c>
      <c r="B229" t="s">
        <v>950</v>
      </c>
      <c r="C229">
        <v>38</v>
      </c>
      <c r="D229">
        <v>12</v>
      </c>
      <c r="E229">
        <v>8</v>
      </c>
      <c r="F229">
        <v>18</v>
      </c>
      <c r="G229">
        <v>45</v>
      </c>
      <c r="H229">
        <v>53</v>
      </c>
      <c r="I229">
        <v>-8</v>
      </c>
      <c r="J229">
        <v>44</v>
      </c>
      <c r="K229">
        <v>1.1599999999999999</v>
      </c>
      <c r="L229" s="2">
        <v>21302</v>
      </c>
      <c r="M229" t="s">
        <v>912</v>
      </c>
      <c r="N229" t="s">
        <v>889</v>
      </c>
    </row>
    <row r="230" spans="1:15" s="53" customFormat="1" x14ac:dyDescent="0.25">
      <c r="A230" s="53">
        <v>12</v>
      </c>
      <c r="B230" s="53" t="s">
        <v>934</v>
      </c>
      <c r="C230" s="53">
        <v>38</v>
      </c>
      <c r="D230" s="53">
        <v>11</v>
      </c>
      <c r="E230" s="53">
        <v>11</v>
      </c>
      <c r="F230" s="53">
        <v>16</v>
      </c>
      <c r="G230" s="53">
        <v>46</v>
      </c>
      <c r="H230" s="53">
        <v>48</v>
      </c>
      <c r="I230" s="53">
        <v>-2</v>
      </c>
      <c r="J230" s="53">
        <v>44</v>
      </c>
      <c r="K230" s="53">
        <v>1.1599999999999999</v>
      </c>
      <c r="L230" s="54">
        <v>37544</v>
      </c>
      <c r="M230" s="53" t="s">
        <v>39</v>
      </c>
      <c r="N230" s="53" t="s">
        <v>31</v>
      </c>
    </row>
    <row r="231" spans="1:15" x14ac:dyDescent="0.25">
      <c r="A231">
        <v>13</v>
      </c>
      <c r="B231" t="s">
        <v>945</v>
      </c>
      <c r="C231">
        <v>38</v>
      </c>
      <c r="D231">
        <v>12</v>
      </c>
      <c r="E231">
        <v>7</v>
      </c>
      <c r="F231">
        <v>19</v>
      </c>
      <c r="G231">
        <v>40</v>
      </c>
      <c r="H231">
        <v>74</v>
      </c>
      <c r="I231">
        <v>-34</v>
      </c>
      <c r="J231">
        <v>43</v>
      </c>
      <c r="K231">
        <v>1.1299999999999999</v>
      </c>
      <c r="L231" s="2">
        <v>21595</v>
      </c>
      <c r="M231" t="s">
        <v>913</v>
      </c>
      <c r="N231" t="s">
        <v>831</v>
      </c>
    </row>
    <row r="232" spans="1:15" x14ac:dyDescent="0.25">
      <c r="A232">
        <v>14</v>
      </c>
      <c r="B232" t="s">
        <v>939</v>
      </c>
      <c r="C232">
        <v>38</v>
      </c>
      <c r="D232">
        <v>11</v>
      </c>
      <c r="E232">
        <v>10</v>
      </c>
      <c r="F232">
        <v>17</v>
      </c>
      <c r="G232">
        <v>49</v>
      </c>
      <c r="H232">
        <v>61</v>
      </c>
      <c r="I232">
        <v>-12</v>
      </c>
      <c r="J232">
        <v>43</v>
      </c>
      <c r="K232">
        <v>1.1299999999999999</v>
      </c>
      <c r="L232" s="2">
        <v>5215</v>
      </c>
      <c r="M232" t="s">
        <v>914</v>
      </c>
      <c r="N232" t="s">
        <v>915</v>
      </c>
    </row>
    <row r="233" spans="1:15" x14ac:dyDescent="0.25">
      <c r="A233">
        <v>15</v>
      </c>
      <c r="B233" t="s">
        <v>949</v>
      </c>
      <c r="C233">
        <v>38</v>
      </c>
      <c r="D233">
        <v>8</v>
      </c>
      <c r="E233">
        <v>18</v>
      </c>
      <c r="F233">
        <v>12</v>
      </c>
      <c r="G233">
        <v>45</v>
      </c>
      <c r="H233">
        <v>61</v>
      </c>
      <c r="I233">
        <v>-16</v>
      </c>
      <c r="J233">
        <v>42</v>
      </c>
      <c r="K233">
        <v>1.1100000000000001</v>
      </c>
      <c r="L233" s="2">
        <v>23797</v>
      </c>
      <c r="M233" t="s">
        <v>916</v>
      </c>
      <c r="N233" t="s">
        <v>892</v>
      </c>
    </row>
    <row r="234" spans="1:15" x14ac:dyDescent="0.25">
      <c r="A234">
        <v>16</v>
      </c>
      <c r="B234" t="s">
        <v>932</v>
      </c>
      <c r="C234">
        <v>38</v>
      </c>
      <c r="D234">
        <v>10</v>
      </c>
      <c r="E234">
        <v>9</v>
      </c>
      <c r="F234">
        <v>19</v>
      </c>
      <c r="G234">
        <v>46</v>
      </c>
      <c r="H234">
        <v>69</v>
      </c>
      <c r="I234">
        <v>-23</v>
      </c>
      <c r="J234">
        <v>39</v>
      </c>
      <c r="K234">
        <v>1.03</v>
      </c>
      <c r="L234" s="2">
        <v>16400</v>
      </c>
      <c r="M234" t="s">
        <v>917</v>
      </c>
      <c r="N234" t="s">
        <v>918</v>
      </c>
    </row>
    <row r="235" spans="1:15" x14ac:dyDescent="0.25">
      <c r="A235">
        <v>17</v>
      </c>
      <c r="B235" t="s">
        <v>952</v>
      </c>
      <c r="C235">
        <v>38</v>
      </c>
      <c r="D235">
        <v>10</v>
      </c>
      <c r="E235">
        <v>9</v>
      </c>
      <c r="F235">
        <v>19</v>
      </c>
      <c r="G235">
        <v>40</v>
      </c>
      <c r="H235">
        <v>62</v>
      </c>
      <c r="I235">
        <v>-22</v>
      </c>
      <c r="J235">
        <v>39</v>
      </c>
      <c r="K235">
        <v>1.03</v>
      </c>
      <c r="L235" s="2">
        <v>23559</v>
      </c>
      <c r="M235" t="s">
        <v>919</v>
      </c>
      <c r="N235" t="s">
        <v>817</v>
      </c>
    </row>
    <row r="236" spans="1:15" x14ac:dyDescent="0.25">
      <c r="A236">
        <v>18</v>
      </c>
      <c r="B236" t="s">
        <v>948</v>
      </c>
      <c r="C236">
        <v>38</v>
      </c>
      <c r="D236">
        <v>9</v>
      </c>
      <c r="E236">
        <v>11</v>
      </c>
      <c r="F236">
        <v>18</v>
      </c>
      <c r="G236">
        <v>52</v>
      </c>
      <c r="H236">
        <v>73</v>
      </c>
      <c r="I236">
        <v>-21</v>
      </c>
      <c r="J236">
        <v>38</v>
      </c>
      <c r="K236">
        <v>1</v>
      </c>
      <c r="L236" s="2">
        <v>11665</v>
      </c>
      <c r="M236" t="s">
        <v>920</v>
      </c>
      <c r="N236" t="s">
        <v>921</v>
      </c>
      <c r="O236" t="s">
        <v>617</v>
      </c>
    </row>
    <row r="237" spans="1:15" x14ac:dyDescent="0.25">
      <c r="A237">
        <v>19</v>
      </c>
      <c r="B237" t="s">
        <v>933</v>
      </c>
      <c r="C237">
        <v>38</v>
      </c>
      <c r="D237">
        <v>9</v>
      </c>
      <c r="E237">
        <v>9</v>
      </c>
      <c r="F237">
        <v>20</v>
      </c>
      <c r="G237">
        <v>37</v>
      </c>
      <c r="H237">
        <v>67</v>
      </c>
      <c r="I237">
        <v>-30</v>
      </c>
      <c r="J237">
        <v>36</v>
      </c>
      <c r="K237">
        <v>0.95</v>
      </c>
      <c r="L237" s="2">
        <v>7498</v>
      </c>
      <c r="M237" t="s">
        <v>922</v>
      </c>
      <c r="N237" t="s">
        <v>41</v>
      </c>
      <c r="O237" t="s">
        <v>617</v>
      </c>
    </row>
    <row r="238" spans="1:15" x14ac:dyDescent="0.25">
      <c r="A238">
        <v>20</v>
      </c>
      <c r="B238" t="s">
        <v>937</v>
      </c>
      <c r="C238">
        <v>38</v>
      </c>
      <c r="D238">
        <v>8</v>
      </c>
      <c r="E238">
        <v>8</v>
      </c>
      <c r="F238">
        <v>22</v>
      </c>
      <c r="G238">
        <v>37</v>
      </c>
      <c r="H238">
        <v>70</v>
      </c>
      <c r="I238">
        <v>-33</v>
      </c>
      <c r="J238">
        <v>32</v>
      </c>
      <c r="K238">
        <v>0.84</v>
      </c>
      <c r="L238" s="2">
        <v>14661</v>
      </c>
      <c r="M238" t="s">
        <v>923</v>
      </c>
      <c r="N238" t="s">
        <v>924</v>
      </c>
      <c r="O238" t="s">
        <v>925</v>
      </c>
    </row>
    <row r="240" spans="1:15" s="36" customFormat="1" x14ac:dyDescent="0.25">
      <c r="A240" s="36" t="s">
        <v>1033</v>
      </c>
    </row>
    <row r="242" spans="1:15" x14ac:dyDescent="0.25">
      <c r="A242" t="s">
        <v>641</v>
      </c>
      <c r="B242" t="s">
        <v>15</v>
      </c>
      <c r="C242" t="s">
        <v>17</v>
      </c>
      <c r="D242" t="s">
        <v>18</v>
      </c>
      <c r="E242" t="s">
        <v>4</v>
      </c>
      <c r="F242" t="s">
        <v>19</v>
      </c>
      <c r="G242" t="s">
        <v>20</v>
      </c>
      <c r="H242" t="s">
        <v>21</v>
      </c>
      <c r="I242" t="s">
        <v>22</v>
      </c>
      <c r="J242" t="s">
        <v>23</v>
      </c>
      <c r="K242" t="s">
        <v>578</v>
      </c>
      <c r="L242" t="s">
        <v>24</v>
      </c>
      <c r="M242" t="s">
        <v>25</v>
      </c>
      <c r="N242" t="s">
        <v>26</v>
      </c>
      <c r="O242" t="s">
        <v>27</v>
      </c>
    </row>
    <row r="243" spans="1:15" x14ac:dyDescent="0.25">
      <c r="A243">
        <v>1</v>
      </c>
      <c r="B243" t="s">
        <v>927</v>
      </c>
      <c r="C243">
        <v>38</v>
      </c>
      <c r="D243">
        <v>30</v>
      </c>
      <c r="E243">
        <v>4</v>
      </c>
      <c r="F243">
        <v>4</v>
      </c>
      <c r="G243">
        <v>110</v>
      </c>
      <c r="H243">
        <v>21</v>
      </c>
      <c r="I243">
        <v>89</v>
      </c>
      <c r="J243">
        <v>94</v>
      </c>
      <c r="K243">
        <v>2.4700000000000002</v>
      </c>
      <c r="L243" s="2">
        <v>77632</v>
      </c>
      <c r="M243" t="s">
        <v>1034</v>
      </c>
      <c r="N243" t="s">
        <v>779</v>
      </c>
      <c r="O243" t="s">
        <v>851</v>
      </c>
    </row>
    <row r="244" spans="1:15" x14ac:dyDescent="0.25">
      <c r="A244">
        <v>2</v>
      </c>
      <c r="B244" t="s">
        <v>926</v>
      </c>
      <c r="C244">
        <v>38</v>
      </c>
      <c r="D244">
        <v>30</v>
      </c>
      <c r="E244">
        <v>2</v>
      </c>
      <c r="F244">
        <v>6</v>
      </c>
      <c r="G244">
        <v>118</v>
      </c>
      <c r="H244">
        <v>38</v>
      </c>
      <c r="I244">
        <v>80</v>
      </c>
      <c r="J244">
        <v>92</v>
      </c>
      <c r="K244">
        <v>2.42</v>
      </c>
      <c r="L244" s="2">
        <v>73545</v>
      </c>
      <c r="M244" t="s">
        <v>1035</v>
      </c>
      <c r="N244" t="s">
        <v>1036</v>
      </c>
      <c r="O244" t="s">
        <v>36</v>
      </c>
    </row>
    <row r="245" spans="1:15" x14ac:dyDescent="0.25">
      <c r="A245">
        <v>3</v>
      </c>
      <c r="B245" t="s">
        <v>928</v>
      </c>
      <c r="C245">
        <v>38</v>
      </c>
      <c r="D245">
        <v>23</v>
      </c>
      <c r="E245">
        <v>9</v>
      </c>
      <c r="F245">
        <v>6</v>
      </c>
      <c r="G245">
        <v>67</v>
      </c>
      <c r="H245">
        <v>29</v>
      </c>
      <c r="I245">
        <v>38</v>
      </c>
      <c r="J245">
        <v>78</v>
      </c>
      <c r="K245">
        <v>2.0499999999999998</v>
      </c>
      <c r="L245" s="2">
        <v>46454</v>
      </c>
      <c r="M245" t="s">
        <v>902</v>
      </c>
      <c r="N245" t="s">
        <v>1037</v>
      </c>
      <c r="O245" t="s">
        <v>36</v>
      </c>
    </row>
    <row r="246" spans="1:15" x14ac:dyDescent="0.25">
      <c r="A246">
        <v>4</v>
      </c>
      <c r="B246" t="s">
        <v>934</v>
      </c>
      <c r="C246">
        <v>38</v>
      </c>
      <c r="D246">
        <v>22</v>
      </c>
      <c r="E246">
        <v>11</v>
      </c>
      <c r="F246">
        <v>5</v>
      </c>
      <c r="G246">
        <v>70</v>
      </c>
      <c r="H246">
        <v>32</v>
      </c>
      <c r="I246">
        <v>38</v>
      </c>
      <c r="J246">
        <v>77</v>
      </c>
      <c r="K246">
        <v>2.0299999999999998</v>
      </c>
      <c r="L246" s="2">
        <v>43125</v>
      </c>
      <c r="M246" t="s">
        <v>1038</v>
      </c>
      <c r="N246" t="s">
        <v>38</v>
      </c>
      <c r="O246" t="s">
        <v>36</v>
      </c>
    </row>
    <row r="247" spans="1:15" x14ac:dyDescent="0.25">
      <c r="A247">
        <v>5</v>
      </c>
      <c r="B247" t="s">
        <v>929</v>
      </c>
      <c r="C247">
        <v>38</v>
      </c>
      <c r="D247">
        <v>23</v>
      </c>
      <c r="E247">
        <v>7</v>
      </c>
      <c r="F247">
        <v>8</v>
      </c>
      <c r="G247">
        <v>71</v>
      </c>
      <c r="H247">
        <v>45</v>
      </c>
      <c r="I247">
        <v>26</v>
      </c>
      <c r="J247">
        <v>76</v>
      </c>
      <c r="K247">
        <v>2</v>
      </c>
      <c r="L247" s="2">
        <v>30878</v>
      </c>
      <c r="M247" t="s">
        <v>1039</v>
      </c>
      <c r="N247" t="s">
        <v>856</v>
      </c>
      <c r="O247" t="s">
        <v>848</v>
      </c>
    </row>
    <row r="248" spans="1:15" x14ac:dyDescent="0.25">
      <c r="A248">
        <v>6</v>
      </c>
      <c r="B248" t="s">
        <v>930</v>
      </c>
      <c r="C248">
        <v>38</v>
      </c>
      <c r="D248">
        <v>16</v>
      </c>
      <c r="E248">
        <v>12</v>
      </c>
      <c r="F248">
        <v>10</v>
      </c>
      <c r="G248">
        <v>48</v>
      </c>
      <c r="H248">
        <v>37</v>
      </c>
      <c r="I248">
        <v>11</v>
      </c>
      <c r="J248">
        <v>60</v>
      </c>
      <c r="K248">
        <v>1.58</v>
      </c>
      <c r="L248" s="2">
        <v>16375</v>
      </c>
      <c r="M248" t="s">
        <v>1040</v>
      </c>
      <c r="N248" t="s">
        <v>782</v>
      </c>
      <c r="O248" t="s">
        <v>780</v>
      </c>
    </row>
    <row r="249" spans="1:15" x14ac:dyDescent="0.25">
      <c r="A249">
        <v>7</v>
      </c>
      <c r="B249" t="s">
        <v>936</v>
      </c>
      <c r="C249">
        <v>38</v>
      </c>
      <c r="D249">
        <v>15</v>
      </c>
      <c r="E249">
        <v>10</v>
      </c>
      <c r="F249">
        <v>13</v>
      </c>
      <c r="G249">
        <v>42</v>
      </c>
      <c r="H249">
        <v>41</v>
      </c>
      <c r="I249">
        <v>1</v>
      </c>
      <c r="J249">
        <v>55</v>
      </c>
      <c r="K249">
        <v>1.45</v>
      </c>
      <c r="L249" s="2">
        <v>40654</v>
      </c>
      <c r="M249" t="s">
        <v>1041</v>
      </c>
      <c r="N249" t="s">
        <v>906</v>
      </c>
      <c r="O249" t="s">
        <v>40</v>
      </c>
    </row>
    <row r="250" spans="1:15" x14ac:dyDescent="0.25">
      <c r="A250">
        <v>8</v>
      </c>
      <c r="B250" t="s">
        <v>942</v>
      </c>
      <c r="C250">
        <v>38</v>
      </c>
      <c r="D250">
        <v>13</v>
      </c>
      <c r="E250">
        <v>12</v>
      </c>
      <c r="F250">
        <v>13</v>
      </c>
      <c r="G250">
        <v>47</v>
      </c>
      <c r="H250">
        <v>44</v>
      </c>
      <c r="I250">
        <v>3</v>
      </c>
      <c r="J250">
        <v>51</v>
      </c>
      <c r="K250">
        <v>1.34</v>
      </c>
      <c r="L250" s="2">
        <v>19039</v>
      </c>
      <c r="M250" t="s">
        <v>1042</v>
      </c>
      <c r="N250" t="s">
        <v>887</v>
      </c>
    </row>
    <row r="251" spans="1:15" x14ac:dyDescent="0.25">
      <c r="A251">
        <v>9</v>
      </c>
      <c r="B251" t="s">
        <v>951</v>
      </c>
      <c r="C251">
        <v>38</v>
      </c>
      <c r="D251">
        <v>14</v>
      </c>
      <c r="E251">
        <v>8</v>
      </c>
      <c r="F251">
        <v>16</v>
      </c>
      <c r="G251">
        <v>42</v>
      </c>
      <c r="H251">
        <v>48</v>
      </c>
      <c r="I251">
        <v>-6</v>
      </c>
      <c r="J251">
        <v>50</v>
      </c>
      <c r="K251">
        <v>1.32</v>
      </c>
      <c r="L251" s="2">
        <v>22333</v>
      </c>
      <c r="M251" t="s">
        <v>1043</v>
      </c>
      <c r="N251" t="s">
        <v>884</v>
      </c>
    </row>
    <row r="252" spans="1:15" x14ac:dyDescent="0.25">
      <c r="A252">
        <v>10</v>
      </c>
      <c r="B252" t="s">
        <v>945</v>
      </c>
      <c r="C252">
        <v>38</v>
      </c>
      <c r="D252">
        <v>13</v>
      </c>
      <c r="E252">
        <v>10</v>
      </c>
      <c r="F252">
        <v>15</v>
      </c>
      <c r="G252">
        <v>47</v>
      </c>
      <c r="H252">
        <v>51</v>
      </c>
      <c r="I252">
        <v>-4</v>
      </c>
      <c r="J252">
        <v>49</v>
      </c>
      <c r="K252">
        <v>1.29</v>
      </c>
      <c r="L252" s="2">
        <v>18694</v>
      </c>
      <c r="M252" t="s">
        <v>1044</v>
      </c>
      <c r="N252" t="s">
        <v>1045</v>
      </c>
    </row>
    <row r="253" spans="1:15" x14ac:dyDescent="0.25">
      <c r="A253">
        <v>11</v>
      </c>
      <c r="B253" t="s">
        <v>948</v>
      </c>
      <c r="C253">
        <v>38</v>
      </c>
      <c r="D253">
        <v>15</v>
      </c>
      <c r="E253">
        <v>4</v>
      </c>
      <c r="F253">
        <v>19</v>
      </c>
      <c r="G253">
        <v>46</v>
      </c>
      <c r="H253">
        <v>68</v>
      </c>
      <c r="I253">
        <v>-22</v>
      </c>
      <c r="J253">
        <v>49</v>
      </c>
      <c r="K253">
        <v>1.29</v>
      </c>
      <c r="L253" s="2">
        <v>10414</v>
      </c>
      <c r="M253" t="s">
        <v>1046</v>
      </c>
      <c r="N253" t="s">
        <v>1047</v>
      </c>
    </row>
    <row r="254" spans="1:15" x14ac:dyDescent="0.25">
      <c r="A254">
        <v>12</v>
      </c>
      <c r="B254" t="s">
        <v>931</v>
      </c>
      <c r="C254">
        <v>38</v>
      </c>
      <c r="D254">
        <v>11</v>
      </c>
      <c r="E254">
        <v>13</v>
      </c>
      <c r="F254">
        <v>14</v>
      </c>
      <c r="G254">
        <v>44</v>
      </c>
      <c r="H254">
        <v>51</v>
      </c>
      <c r="I254">
        <v>-7</v>
      </c>
      <c r="J254">
        <v>46</v>
      </c>
      <c r="K254">
        <v>1.21</v>
      </c>
      <c r="L254" s="2">
        <v>21550</v>
      </c>
      <c r="M254" t="s">
        <v>1048</v>
      </c>
      <c r="N254" t="s">
        <v>753</v>
      </c>
    </row>
    <row r="255" spans="1:15" x14ac:dyDescent="0.25">
      <c r="A255">
        <v>13</v>
      </c>
      <c r="B255" t="s">
        <v>1064</v>
      </c>
      <c r="C255">
        <v>38</v>
      </c>
      <c r="D255">
        <v>11</v>
      </c>
      <c r="E255">
        <v>8</v>
      </c>
      <c r="F255">
        <v>19</v>
      </c>
      <c r="G255">
        <v>35</v>
      </c>
      <c r="H255">
        <v>62</v>
      </c>
      <c r="I255">
        <v>-27</v>
      </c>
      <c r="J255">
        <v>41</v>
      </c>
      <c r="K255">
        <v>1.08</v>
      </c>
      <c r="L255" s="2">
        <v>21668</v>
      </c>
      <c r="M255" t="s">
        <v>1049</v>
      </c>
      <c r="N255" t="s">
        <v>1050</v>
      </c>
      <c r="O255" t="s">
        <v>1051</v>
      </c>
    </row>
    <row r="256" spans="1:15" x14ac:dyDescent="0.25">
      <c r="A256">
        <v>14</v>
      </c>
      <c r="B256" t="s">
        <v>937</v>
      </c>
      <c r="C256">
        <v>38</v>
      </c>
      <c r="D256">
        <v>9</v>
      </c>
      <c r="E256">
        <v>10</v>
      </c>
      <c r="F256">
        <v>19</v>
      </c>
      <c r="G256">
        <v>34</v>
      </c>
      <c r="H256">
        <v>67</v>
      </c>
      <c r="I256">
        <v>-33</v>
      </c>
      <c r="J256">
        <v>37</v>
      </c>
      <c r="K256">
        <v>0.97</v>
      </c>
      <c r="L256" s="2">
        <v>15866</v>
      </c>
      <c r="M256" t="s">
        <v>1052</v>
      </c>
      <c r="N256" t="s">
        <v>924</v>
      </c>
    </row>
    <row r="257" spans="1:15" x14ac:dyDescent="0.25">
      <c r="A257">
        <v>15</v>
      </c>
      <c r="B257" t="s">
        <v>933</v>
      </c>
      <c r="C257">
        <v>38</v>
      </c>
      <c r="D257">
        <v>10</v>
      </c>
      <c r="E257">
        <v>7</v>
      </c>
      <c r="F257">
        <v>21</v>
      </c>
      <c r="G257">
        <v>33</v>
      </c>
      <c r="H257">
        <v>64</v>
      </c>
      <c r="I257">
        <v>-31</v>
      </c>
      <c r="J257">
        <v>37</v>
      </c>
      <c r="K257">
        <v>0.97</v>
      </c>
      <c r="L257" s="2">
        <v>7171</v>
      </c>
      <c r="M257" t="s">
        <v>1053</v>
      </c>
      <c r="N257" t="s">
        <v>41</v>
      </c>
    </row>
    <row r="258" spans="1:15" x14ac:dyDescent="0.25">
      <c r="A258">
        <v>16</v>
      </c>
      <c r="B258" t="s">
        <v>949</v>
      </c>
      <c r="C258">
        <v>38</v>
      </c>
      <c r="D258">
        <v>7</v>
      </c>
      <c r="E258">
        <v>14</v>
      </c>
      <c r="F258">
        <v>17</v>
      </c>
      <c r="G258">
        <v>35</v>
      </c>
      <c r="H258">
        <v>60</v>
      </c>
      <c r="I258">
        <v>-25</v>
      </c>
      <c r="J258">
        <v>35</v>
      </c>
      <c r="K258">
        <v>0.92</v>
      </c>
      <c r="L258" s="2">
        <v>21042</v>
      </c>
      <c r="M258" t="s">
        <v>1054</v>
      </c>
      <c r="N258" t="s">
        <v>1055</v>
      </c>
    </row>
    <row r="259" spans="1:15" x14ac:dyDescent="0.25">
      <c r="A259">
        <v>17</v>
      </c>
      <c r="B259" t="s">
        <v>932</v>
      </c>
      <c r="C259">
        <v>38</v>
      </c>
      <c r="D259">
        <v>7</v>
      </c>
      <c r="E259">
        <v>14</v>
      </c>
      <c r="F259">
        <v>17</v>
      </c>
      <c r="G259">
        <v>29</v>
      </c>
      <c r="H259">
        <v>64</v>
      </c>
      <c r="I259">
        <v>-35</v>
      </c>
      <c r="J259">
        <v>35</v>
      </c>
      <c r="K259">
        <v>0.92</v>
      </c>
      <c r="L259" s="2">
        <v>17736</v>
      </c>
      <c r="M259" t="s">
        <v>1056</v>
      </c>
      <c r="N259" t="s">
        <v>1057</v>
      </c>
    </row>
    <row r="260" spans="1:15" x14ac:dyDescent="0.25">
      <c r="A260">
        <v>18</v>
      </c>
      <c r="B260" t="s">
        <v>939</v>
      </c>
      <c r="C260">
        <v>38</v>
      </c>
      <c r="D260">
        <v>9</v>
      </c>
      <c r="E260">
        <v>8</v>
      </c>
      <c r="F260">
        <v>21</v>
      </c>
      <c r="G260">
        <v>34</v>
      </c>
      <c r="H260">
        <v>55</v>
      </c>
      <c r="I260">
        <v>-21</v>
      </c>
      <c r="J260">
        <v>35</v>
      </c>
      <c r="K260">
        <v>0.92</v>
      </c>
      <c r="L260" s="2">
        <v>4773</v>
      </c>
      <c r="M260" t="s">
        <v>1058</v>
      </c>
      <c r="N260" t="s">
        <v>1059</v>
      </c>
      <c r="O260" t="s">
        <v>1060</v>
      </c>
    </row>
    <row r="261" spans="1:15" x14ac:dyDescent="0.25">
      <c r="A261">
        <v>19</v>
      </c>
      <c r="B261" t="s">
        <v>1065</v>
      </c>
      <c r="C261">
        <v>38</v>
      </c>
      <c r="D261">
        <v>8</v>
      </c>
      <c r="E261">
        <v>8</v>
      </c>
      <c r="F261">
        <v>22</v>
      </c>
      <c r="G261">
        <v>35</v>
      </c>
      <c r="H261">
        <v>64</v>
      </c>
      <c r="I261">
        <v>-29</v>
      </c>
      <c r="J261">
        <v>29</v>
      </c>
      <c r="K261">
        <v>0.76</v>
      </c>
      <c r="L261" s="2">
        <v>10538</v>
      </c>
      <c r="M261" t="s">
        <v>1061</v>
      </c>
      <c r="N261" t="s">
        <v>869</v>
      </c>
      <c r="O261" t="s">
        <v>1062</v>
      </c>
    </row>
    <row r="262" spans="1:15" x14ac:dyDescent="0.25">
      <c r="A262">
        <v>20</v>
      </c>
      <c r="B262" t="s">
        <v>1066</v>
      </c>
      <c r="C262">
        <v>38</v>
      </c>
      <c r="D262">
        <v>3</v>
      </c>
      <c r="E262">
        <v>11</v>
      </c>
      <c r="F262">
        <v>24</v>
      </c>
      <c r="G262">
        <v>22</v>
      </c>
      <c r="H262">
        <v>68</v>
      </c>
      <c r="I262">
        <v>-46</v>
      </c>
      <c r="J262">
        <v>20</v>
      </c>
      <c r="K262">
        <v>0.53</v>
      </c>
      <c r="L262" s="2">
        <v>16348</v>
      </c>
      <c r="M262" t="s">
        <v>1063</v>
      </c>
      <c r="N262" t="s">
        <v>921</v>
      </c>
      <c r="O262" t="s">
        <v>617</v>
      </c>
    </row>
    <row r="264" spans="1:15" x14ac:dyDescent="0.25">
      <c r="A264" t="s">
        <v>1067</v>
      </c>
    </row>
    <row r="266" spans="1:15" x14ac:dyDescent="0.25">
      <c r="A266" t="s">
        <v>641</v>
      </c>
      <c r="B266" t="s">
        <v>15</v>
      </c>
      <c r="C266" t="s">
        <v>17</v>
      </c>
      <c r="D266" t="s">
        <v>18</v>
      </c>
      <c r="E266" t="s">
        <v>4</v>
      </c>
      <c r="F266" t="s">
        <v>19</v>
      </c>
      <c r="G266" t="s">
        <v>20</v>
      </c>
      <c r="H266" t="s">
        <v>21</v>
      </c>
      <c r="I266" t="s">
        <v>22</v>
      </c>
      <c r="J266" t="s">
        <v>23</v>
      </c>
      <c r="K266" t="s">
        <v>578</v>
      </c>
      <c r="L266" t="s">
        <v>24</v>
      </c>
      <c r="M266" t="s">
        <v>25</v>
      </c>
      <c r="N266" t="s">
        <v>26</v>
      </c>
      <c r="O266" t="s">
        <v>27</v>
      </c>
    </row>
    <row r="267" spans="1:15" x14ac:dyDescent="0.25">
      <c r="A267">
        <v>1</v>
      </c>
      <c r="B267" t="s">
        <v>1310</v>
      </c>
      <c r="C267">
        <v>38</v>
      </c>
      <c r="D267">
        <v>28</v>
      </c>
      <c r="E267">
        <v>6</v>
      </c>
      <c r="F267">
        <v>4</v>
      </c>
      <c r="G267">
        <v>77</v>
      </c>
      <c r="H267">
        <v>26</v>
      </c>
      <c r="I267">
        <v>51</v>
      </c>
      <c r="J267">
        <v>90</v>
      </c>
      <c r="K267">
        <v>2.37</v>
      </c>
      <c r="M267" t="s">
        <v>1076</v>
      </c>
      <c r="N267" t="s">
        <v>584</v>
      </c>
      <c r="O267" t="s">
        <v>36</v>
      </c>
    </row>
    <row r="268" spans="1:15" x14ac:dyDescent="0.25">
      <c r="A268">
        <v>2</v>
      </c>
      <c r="B268" t="s">
        <v>1311</v>
      </c>
      <c r="C268">
        <v>38</v>
      </c>
      <c r="D268">
        <v>27</v>
      </c>
      <c r="E268">
        <v>6</v>
      </c>
      <c r="F268">
        <v>5</v>
      </c>
      <c r="G268">
        <v>100</v>
      </c>
      <c r="H268">
        <v>33</v>
      </c>
      <c r="I268">
        <v>67</v>
      </c>
      <c r="J268">
        <v>87</v>
      </c>
      <c r="K268">
        <v>2.29</v>
      </c>
      <c r="M268" t="s">
        <v>1077</v>
      </c>
      <c r="N268" t="s">
        <v>1078</v>
      </c>
      <c r="O268" t="s">
        <v>36</v>
      </c>
    </row>
    <row r="269" spans="1:15" x14ac:dyDescent="0.25">
      <c r="A269">
        <v>3</v>
      </c>
      <c r="B269" t="s">
        <v>1312</v>
      </c>
      <c r="C269">
        <v>38</v>
      </c>
      <c r="D269">
        <v>27</v>
      </c>
      <c r="E269">
        <v>6</v>
      </c>
      <c r="F269">
        <v>5</v>
      </c>
      <c r="G269">
        <v>104</v>
      </c>
      <c r="H269">
        <v>38</v>
      </c>
      <c r="I269">
        <v>66</v>
      </c>
      <c r="J269">
        <v>87</v>
      </c>
      <c r="K269">
        <v>2.29</v>
      </c>
      <c r="M269" t="s">
        <v>1079</v>
      </c>
      <c r="N269" t="s">
        <v>762</v>
      </c>
      <c r="O269" t="s">
        <v>851</v>
      </c>
    </row>
    <row r="270" spans="1:15" x14ac:dyDescent="0.25">
      <c r="A270">
        <v>4</v>
      </c>
      <c r="B270" t="s">
        <v>1313</v>
      </c>
      <c r="C270">
        <v>38</v>
      </c>
      <c r="D270">
        <v>20</v>
      </c>
      <c r="E270">
        <v>10</v>
      </c>
      <c r="F270">
        <v>8</v>
      </c>
      <c r="G270">
        <v>66</v>
      </c>
      <c r="H270">
        <v>39</v>
      </c>
      <c r="I270">
        <v>27</v>
      </c>
      <c r="J270">
        <v>70</v>
      </c>
      <c r="K270">
        <v>1.84</v>
      </c>
      <c r="M270" t="s">
        <v>878</v>
      </c>
      <c r="N270" t="s">
        <v>906</v>
      </c>
      <c r="O270" t="s">
        <v>36</v>
      </c>
    </row>
    <row r="271" spans="1:15" x14ac:dyDescent="0.25">
      <c r="A271">
        <v>5</v>
      </c>
      <c r="B271" t="s">
        <v>1314</v>
      </c>
      <c r="C271">
        <v>38</v>
      </c>
      <c r="D271">
        <v>18</v>
      </c>
      <c r="E271">
        <v>9</v>
      </c>
      <c r="F271">
        <v>11</v>
      </c>
      <c r="G271">
        <v>69</v>
      </c>
      <c r="H271">
        <v>52</v>
      </c>
      <c r="I271">
        <v>17</v>
      </c>
      <c r="J271">
        <v>63</v>
      </c>
      <c r="K271">
        <v>1.66</v>
      </c>
      <c r="M271" t="s">
        <v>1080</v>
      </c>
      <c r="N271" t="s">
        <v>1081</v>
      </c>
      <c r="O271" t="s">
        <v>1082</v>
      </c>
    </row>
    <row r="272" spans="1:15" x14ac:dyDescent="0.25">
      <c r="A272">
        <v>6</v>
      </c>
      <c r="B272" t="s">
        <v>1315</v>
      </c>
      <c r="C272">
        <v>38</v>
      </c>
      <c r="D272">
        <v>17</v>
      </c>
      <c r="E272">
        <v>8</v>
      </c>
      <c r="F272">
        <v>13</v>
      </c>
      <c r="G272">
        <v>60</v>
      </c>
      <c r="H272">
        <v>44</v>
      </c>
      <c r="I272">
        <v>16</v>
      </c>
      <c r="J272">
        <v>59</v>
      </c>
      <c r="K272">
        <v>1.55</v>
      </c>
      <c r="M272" t="s">
        <v>1083</v>
      </c>
      <c r="N272" t="s">
        <v>782</v>
      </c>
      <c r="O272" t="s">
        <v>40</v>
      </c>
    </row>
    <row r="273" spans="1:15" x14ac:dyDescent="0.25">
      <c r="A273">
        <v>7</v>
      </c>
      <c r="B273" t="s">
        <v>1316</v>
      </c>
      <c r="C273">
        <v>38</v>
      </c>
      <c r="D273">
        <v>16</v>
      </c>
      <c r="E273">
        <v>11</v>
      </c>
      <c r="F273">
        <v>11</v>
      </c>
      <c r="G273">
        <v>62</v>
      </c>
      <c r="H273">
        <v>55</v>
      </c>
      <c r="I273">
        <v>7</v>
      </c>
      <c r="J273">
        <v>59</v>
      </c>
      <c r="K273">
        <v>1.55</v>
      </c>
      <c r="M273" t="s">
        <v>1084</v>
      </c>
      <c r="N273" t="s">
        <v>779</v>
      </c>
      <c r="O273" t="s">
        <v>40</v>
      </c>
    </row>
    <row r="274" spans="1:15" x14ac:dyDescent="0.25">
      <c r="A274">
        <v>8</v>
      </c>
      <c r="B274" t="s">
        <v>1317</v>
      </c>
      <c r="C274">
        <v>38</v>
      </c>
      <c r="D274">
        <v>13</v>
      </c>
      <c r="E274">
        <v>10</v>
      </c>
      <c r="F274">
        <v>15</v>
      </c>
      <c r="G274">
        <v>51</v>
      </c>
      <c r="H274">
        <v>53</v>
      </c>
      <c r="I274">
        <v>-2</v>
      </c>
      <c r="J274">
        <v>49</v>
      </c>
      <c r="K274">
        <v>1.29</v>
      </c>
      <c r="M274" t="s">
        <v>1085</v>
      </c>
      <c r="N274" t="s">
        <v>38</v>
      </c>
    </row>
    <row r="275" spans="1:15" x14ac:dyDescent="0.25">
      <c r="A275">
        <v>9</v>
      </c>
      <c r="B275" t="s">
        <v>1318</v>
      </c>
      <c r="C275">
        <v>38</v>
      </c>
      <c r="D275">
        <v>14</v>
      </c>
      <c r="E275">
        <v>7</v>
      </c>
      <c r="F275">
        <v>17</v>
      </c>
      <c r="G275">
        <v>49</v>
      </c>
      <c r="H275">
        <v>54</v>
      </c>
      <c r="I275">
        <v>-5</v>
      </c>
      <c r="J275">
        <v>49</v>
      </c>
      <c r="K275">
        <v>1.29</v>
      </c>
      <c r="M275" t="s">
        <v>1086</v>
      </c>
      <c r="N275" t="s">
        <v>882</v>
      </c>
    </row>
    <row r="276" spans="1:15" x14ac:dyDescent="0.25">
      <c r="A276">
        <v>10</v>
      </c>
      <c r="B276" t="s">
        <v>1319</v>
      </c>
      <c r="C276">
        <v>38</v>
      </c>
      <c r="D276">
        <v>12</v>
      </c>
      <c r="E276">
        <v>12</v>
      </c>
      <c r="F276">
        <v>14</v>
      </c>
      <c r="G276">
        <v>35</v>
      </c>
      <c r="H276">
        <v>43</v>
      </c>
      <c r="I276">
        <v>-8</v>
      </c>
      <c r="J276">
        <v>48</v>
      </c>
      <c r="K276">
        <v>1.26</v>
      </c>
      <c r="M276" t="s">
        <v>1087</v>
      </c>
      <c r="N276" t="s">
        <v>850</v>
      </c>
    </row>
    <row r="277" spans="1:15" x14ac:dyDescent="0.25">
      <c r="A277">
        <v>11</v>
      </c>
      <c r="B277" t="s">
        <v>1320</v>
      </c>
      <c r="C277">
        <v>38</v>
      </c>
      <c r="D277">
        <v>12</v>
      </c>
      <c r="E277">
        <v>9</v>
      </c>
      <c r="F277">
        <v>17</v>
      </c>
      <c r="G277">
        <v>39</v>
      </c>
      <c r="H277">
        <v>46</v>
      </c>
      <c r="I277">
        <v>-7</v>
      </c>
      <c r="J277">
        <v>45</v>
      </c>
      <c r="K277">
        <v>1.18</v>
      </c>
      <c r="M277" t="s">
        <v>1088</v>
      </c>
      <c r="N277" t="s">
        <v>1089</v>
      </c>
    </row>
    <row r="278" spans="1:15" x14ac:dyDescent="0.25">
      <c r="A278">
        <v>12</v>
      </c>
      <c r="B278" t="s">
        <v>1321</v>
      </c>
      <c r="C278">
        <v>38</v>
      </c>
      <c r="D278">
        <v>13</v>
      </c>
      <c r="E278">
        <v>4</v>
      </c>
      <c r="F278">
        <v>21</v>
      </c>
      <c r="G278">
        <v>46</v>
      </c>
      <c r="H278">
        <v>80</v>
      </c>
      <c r="I278">
        <v>-34</v>
      </c>
      <c r="J278">
        <v>43</v>
      </c>
      <c r="K278">
        <v>1.1299999999999999</v>
      </c>
      <c r="M278" t="s">
        <v>1090</v>
      </c>
      <c r="N278" t="s">
        <v>869</v>
      </c>
    </row>
    <row r="279" spans="1:15" x14ac:dyDescent="0.25">
      <c r="A279">
        <v>13</v>
      </c>
      <c r="B279" t="s">
        <v>1322</v>
      </c>
      <c r="C279">
        <v>38</v>
      </c>
      <c r="D279">
        <v>11</v>
      </c>
      <c r="E279">
        <v>9</v>
      </c>
      <c r="F279">
        <v>18</v>
      </c>
      <c r="G279">
        <v>35</v>
      </c>
      <c r="H279">
        <v>54</v>
      </c>
      <c r="I279">
        <v>-19</v>
      </c>
      <c r="J279">
        <v>42</v>
      </c>
      <c r="K279">
        <v>1.1100000000000001</v>
      </c>
      <c r="M279" t="s">
        <v>1091</v>
      </c>
      <c r="N279" t="s">
        <v>1037</v>
      </c>
    </row>
    <row r="280" spans="1:15" x14ac:dyDescent="0.25">
      <c r="A280">
        <v>14</v>
      </c>
      <c r="B280" t="s">
        <v>1323</v>
      </c>
      <c r="C280">
        <v>38</v>
      </c>
      <c r="D280">
        <v>11</v>
      </c>
      <c r="E280">
        <v>9</v>
      </c>
      <c r="F280">
        <v>18</v>
      </c>
      <c r="G280">
        <v>41</v>
      </c>
      <c r="H280">
        <v>51</v>
      </c>
      <c r="I280">
        <v>-10</v>
      </c>
      <c r="J280">
        <v>42</v>
      </c>
      <c r="K280">
        <v>1.1100000000000001</v>
      </c>
      <c r="M280" t="s">
        <v>1092</v>
      </c>
      <c r="N280" t="s">
        <v>1045</v>
      </c>
    </row>
    <row r="281" spans="1:15" x14ac:dyDescent="0.25">
      <c r="A281">
        <v>15</v>
      </c>
      <c r="B281" t="s">
        <v>1324</v>
      </c>
      <c r="C281">
        <v>38</v>
      </c>
      <c r="D281">
        <v>12</v>
      </c>
      <c r="E281">
        <v>5</v>
      </c>
      <c r="F281">
        <v>21</v>
      </c>
      <c r="G281">
        <v>32</v>
      </c>
      <c r="H281">
        <v>56</v>
      </c>
      <c r="I281">
        <v>-24</v>
      </c>
      <c r="J281">
        <v>41</v>
      </c>
      <c r="K281">
        <v>1.08</v>
      </c>
      <c r="M281" t="s">
        <v>1093</v>
      </c>
      <c r="N281" t="s">
        <v>1057</v>
      </c>
    </row>
    <row r="282" spans="1:15" x14ac:dyDescent="0.25">
      <c r="A282">
        <v>16</v>
      </c>
      <c r="B282" t="s">
        <v>1325</v>
      </c>
      <c r="C282">
        <v>38</v>
      </c>
      <c r="D282">
        <v>9</v>
      </c>
      <c r="E282">
        <v>13</v>
      </c>
      <c r="F282">
        <v>16</v>
      </c>
      <c r="G282">
        <v>30</v>
      </c>
      <c r="H282">
        <v>50</v>
      </c>
      <c r="I282">
        <v>-20</v>
      </c>
      <c r="J282">
        <v>40</v>
      </c>
      <c r="K282">
        <v>1.05</v>
      </c>
      <c r="M282" t="s">
        <v>1094</v>
      </c>
      <c r="N282" t="s">
        <v>1095</v>
      </c>
    </row>
    <row r="283" spans="1:15" x14ac:dyDescent="0.25">
      <c r="A283">
        <v>17</v>
      </c>
      <c r="B283" t="s">
        <v>1326</v>
      </c>
      <c r="C283">
        <v>38</v>
      </c>
      <c r="D283">
        <v>11</v>
      </c>
      <c r="E283">
        <v>7</v>
      </c>
      <c r="F283">
        <v>20</v>
      </c>
      <c r="G283">
        <v>43</v>
      </c>
      <c r="H283">
        <v>71</v>
      </c>
      <c r="I283">
        <v>-28</v>
      </c>
      <c r="J283">
        <v>40</v>
      </c>
      <c r="K283">
        <v>1.05</v>
      </c>
      <c r="M283" t="s">
        <v>1096</v>
      </c>
      <c r="N283" t="s">
        <v>1097</v>
      </c>
    </row>
    <row r="284" spans="1:15" x14ac:dyDescent="0.25">
      <c r="A284">
        <v>18</v>
      </c>
      <c r="B284" t="s">
        <v>1327</v>
      </c>
      <c r="C284">
        <v>38</v>
      </c>
      <c r="D284">
        <v>10</v>
      </c>
      <c r="E284">
        <v>9</v>
      </c>
      <c r="F284">
        <v>19</v>
      </c>
      <c r="G284">
        <v>32</v>
      </c>
      <c r="H284">
        <v>62</v>
      </c>
      <c r="I284">
        <v>-30</v>
      </c>
      <c r="J284">
        <v>39</v>
      </c>
      <c r="K284">
        <v>1.03</v>
      </c>
      <c r="M284" t="s">
        <v>1098</v>
      </c>
      <c r="N284" t="s">
        <v>918</v>
      </c>
      <c r="O284" t="s">
        <v>617</v>
      </c>
    </row>
    <row r="285" spans="1:15" x14ac:dyDescent="0.25">
      <c r="A285">
        <v>19</v>
      </c>
      <c r="B285" t="s">
        <v>1328</v>
      </c>
      <c r="C285">
        <v>38</v>
      </c>
      <c r="D285">
        <v>7</v>
      </c>
      <c r="E285">
        <v>15</v>
      </c>
      <c r="F285">
        <v>16</v>
      </c>
      <c r="G285">
        <v>38</v>
      </c>
      <c r="H285">
        <v>60</v>
      </c>
      <c r="I285">
        <v>-22</v>
      </c>
      <c r="J285">
        <v>36</v>
      </c>
      <c r="K285">
        <v>0.95</v>
      </c>
      <c r="M285" t="s">
        <v>1099</v>
      </c>
      <c r="N285" t="s">
        <v>924</v>
      </c>
      <c r="O285" t="s">
        <v>617</v>
      </c>
    </row>
    <row r="286" spans="1:15" x14ac:dyDescent="0.25">
      <c r="A286">
        <v>20</v>
      </c>
      <c r="B286" t="s">
        <v>1329</v>
      </c>
      <c r="C286">
        <v>38</v>
      </c>
      <c r="D286">
        <v>6</v>
      </c>
      <c r="E286">
        <v>7</v>
      </c>
      <c r="F286">
        <v>25</v>
      </c>
      <c r="G286">
        <v>36</v>
      </c>
      <c r="H286">
        <v>78</v>
      </c>
      <c r="I286">
        <v>-42</v>
      </c>
      <c r="J286">
        <v>25</v>
      </c>
      <c r="K286">
        <v>0.66</v>
      </c>
      <c r="M286" t="s">
        <v>1100</v>
      </c>
      <c r="N286" t="s">
        <v>854</v>
      </c>
      <c r="O286" t="s">
        <v>925</v>
      </c>
    </row>
    <row r="288" spans="1:15" x14ac:dyDescent="0.25">
      <c r="A288" t="s">
        <v>1068</v>
      </c>
    </row>
    <row r="290" spans="1:15" x14ac:dyDescent="0.25">
      <c r="A290" t="s">
        <v>641</v>
      </c>
      <c r="B290" t="s">
        <v>15</v>
      </c>
      <c r="C290" t="s">
        <v>17</v>
      </c>
      <c r="D290" t="s">
        <v>18</v>
      </c>
      <c r="E290" t="s">
        <v>4</v>
      </c>
      <c r="F290" t="s">
        <v>19</v>
      </c>
      <c r="G290" t="s">
        <v>20</v>
      </c>
      <c r="H290" t="s">
        <v>21</v>
      </c>
      <c r="I290" t="s">
        <v>22</v>
      </c>
      <c r="J290" t="s">
        <v>23</v>
      </c>
      <c r="K290" t="s">
        <v>578</v>
      </c>
      <c r="L290" t="s">
        <v>24</v>
      </c>
      <c r="M290" t="s">
        <v>25</v>
      </c>
      <c r="N290" t="s">
        <v>26</v>
      </c>
      <c r="O290" t="s">
        <v>27</v>
      </c>
    </row>
    <row r="291" spans="1:15" x14ac:dyDescent="0.25">
      <c r="A291">
        <v>1</v>
      </c>
      <c r="B291" t="s">
        <v>1311</v>
      </c>
      <c r="C291">
        <v>38</v>
      </c>
      <c r="D291">
        <v>32</v>
      </c>
      <c r="E291">
        <v>4</v>
      </c>
      <c r="F291">
        <v>2</v>
      </c>
      <c r="G291">
        <v>115</v>
      </c>
      <c r="H291">
        <v>40</v>
      </c>
      <c r="I291">
        <v>75</v>
      </c>
      <c r="J291">
        <v>100</v>
      </c>
      <c r="K291">
        <v>2.63</v>
      </c>
      <c r="M291" t="s">
        <v>1101</v>
      </c>
      <c r="N291" t="s">
        <v>1078</v>
      </c>
      <c r="O291" t="s">
        <v>36</v>
      </c>
    </row>
    <row r="292" spans="1:15" x14ac:dyDescent="0.25">
      <c r="A292">
        <v>2</v>
      </c>
      <c r="B292" t="s">
        <v>1312</v>
      </c>
      <c r="C292">
        <v>38</v>
      </c>
      <c r="D292">
        <v>26</v>
      </c>
      <c r="E292">
        <v>7</v>
      </c>
      <c r="F292">
        <v>5</v>
      </c>
      <c r="G292">
        <v>103</v>
      </c>
      <c r="H292">
        <v>42</v>
      </c>
      <c r="I292">
        <v>61</v>
      </c>
      <c r="J292">
        <v>85</v>
      </c>
      <c r="K292">
        <v>2.2400000000000002</v>
      </c>
      <c r="M292" t="s">
        <v>1102</v>
      </c>
      <c r="N292" t="s">
        <v>1036</v>
      </c>
      <c r="O292" t="s">
        <v>36</v>
      </c>
    </row>
    <row r="293" spans="1:15" x14ac:dyDescent="0.25">
      <c r="A293">
        <v>3</v>
      </c>
      <c r="B293" t="s">
        <v>1310</v>
      </c>
      <c r="C293">
        <v>38</v>
      </c>
      <c r="D293">
        <v>23</v>
      </c>
      <c r="E293">
        <v>7</v>
      </c>
      <c r="F293">
        <v>8</v>
      </c>
      <c r="G293">
        <v>65</v>
      </c>
      <c r="H293">
        <v>31</v>
      </c>
      <c r="I293">
        <v>34</v>
      </c>
      <c r="J293">
        <v>76</v>
      </c>
      <c r="K293">
        <v>2</v>
      </c>
      <c r="M293" t="s">
        <v>1103</v>
      </c>
      <c r="N293" t="s">
        <v>584</v>
      </c>
      <c r="O293" t="s">
        <v>36</v>
      </c>
    </row>
    <row r="294" spans="1:15" x14ac:dyDescent="0.25">
      <c r="A294">
        <v>4</v>
      </c>
      <c r="B294" t="s">
        <v>1316</v>
      </c>
      <c r="C294">
        <v>38</v>
      </c>
      <c r="D294">
        <v>18</v>
      </c>
      <c r="E294">
        <v>12</v>
      </c>
      <c r="F294">
        <v>8</v>
      </c>
      <c r="G294">
        <v>70</v>
      </c>
      <c r="H294">
        <v>49</v>
      </c>
      <c r="I294">
        <v>21</v>
      </c>
      <c r="J294">
        <v>66</v>
      </c>
      <c r="K294">
        <v>1.74</v>
      </c>
      <c r="M294" t="s">
        <v>1104</v>
      </c>
      <c r="N294" t="s">
        <v>779</v>
      </c>
      <c r="O294" t="s">
        <v>36</v>
      </c>
    </row>
    <row r="295" spans="1:15" x14ac:dyDescent="0.25">
      <c r="A295">
        <v>5</v>
      </c>
      <c r="B295" t="s">
        <v>1317</v>
      </c>
      <c r="C295">
        <v>38</v>
      </c>
      <c r="D295">
        <v>19</v>
      </c>
      <c r="E295">
        <v>8</v>
      </c>
      <c r="F295">
        <v>11</v>
      </c>
      <c r="G295">
        <v>67</v>
      </c>
      <c r="H295">
        <v>54</v>
      </c>
      <c r="I295">
        <v>13</v>
      </c>
      <c r="J295">
        <v>65</v>
      </c>
      <c r="K295">
        <v>1.71</v>
      </c>
      <c r="M295" t="s">
        <v>1105</v>
      </c>
      <c r="N295" t="s">
        <v>38</v>
      </c>
      <c r="O295" t="s">
        <v>780</v>
      </c>
    </row>
    <row r="296" spans="1:15" x14ac:dyDescent="0.25">
      <c r="A296">
        <v>6</v>
      </c>
      <c r="B296" t="s">
        <v>1320</v>
      </c>
      <c r="C296">
        <v>38</v>
      </c>
      <c r="D296">
        <v>16</v>
      </c>
      <c r="E296">
        <v>9</v>
      </c>
      <c r="F296">
        <v>13</v>
      </c>
      <c r="G296">
        <v>53</v>
      </c>
      <c r="H296">
        <v>50</v>
      </c>
      <c r="I296">
        <v>3</v>
      </c>
      <c r="J296">
        <v>57</v>
      </c>
      <c r="K296">
        <v>1.5</v>
      </c>
      <c r="M296" t="s">
        <v>1106</v>
      </c>
      <c r="N296" t="s">
        <v>1089</v>
      </c>
    </row>
    <row r="297" spans="1:15" x14ac:dyDescent="0.25">
      <c r="A297">
        <v>7</v>
      </c>
      <c r="B297" t="s">
        <v>1329</v>
      </c>
      <c r="C297">
        <v>38</v>
      </c>
      <c r="D297">
        <v>16</v>
      </c>
      <c r="E297">
        <v>8</v>
      </c>
      <c r="F297">
        <v>14</v>
      </c>
      <c r="G297">
        <v>57</v>
      </c>
      <c r="H297">
        <v>56</v>
      </c>
      <c r="I297">
        <v>1</v>
      </c>
      <c r="J297">
        <v>56</v>
      </c>
      <c r="K297">
        <v>1.47</v>
      </c>
      <c r="M297" t="s">
        <v>1107</v>
      </c>
      <c r="N297" t="s">
        <v>1108</v>
      </c>
      <c r="O297" t="s">
        <v>40</v>
      </c>
    </row>
    <row r="298" spans="1:15" x14ac:dyDescent="0.25">
      <c r="A298">
        <v>8</v>
      </c>
      <c r="B298" t="s">
        <v>1321</v>
      </c>
      <c r="C298">
        <v>38</v>
      </c>
      <c r="D298">
        <v>16</v>
      </c>
      <c r="E298">
        <v>5</v>
      </c>
      <c r="F298">
        <v>17</v>
      </c>
      <c r="G298">
        <v>50</v>
      </c>
      <c r="H298">
        <v>66</v>
      </c>
      <c r="I298">
        <v>-16</v>
      </c>
      <c r="J298">
        <v>53</v>
      </c>
      <c r="K298">
        <v>1.39</v>
      </c>
      <c r="M298" t="s">
        <v>1109</v>
      </c>
      <c r="N298" t="s">
        <v>869</v>
      </c>
    </row>
    <row r="299" spans="1:15" x14ac:dyDescent="0.25">
      <c r="A299">
        <v>9</v>
      </c>
      <c r="B299" t="s">
        <v>1314</v>
      </c>
      <c r="C299">
        <v>38</v>
      </c>
      <c r="D299">
        <v>14</v>
      </c>
      <c r="E299">
        <v>8</v>
      </c>
      <c r="F299">
        <v>16</v>
      </c>
      <c r="G299">
        <v>58</v>
      </c>
      <c r="H299">
        <v>54</v>
      </c>
      <c r="I299">
        <v>4</v>
      </c>
      <c r="J299">
        <v>50</v>
      </c>
      <c r="K299">
        <v>1.32</v>
      </c>
      <c r="M299" t="s">
        <v>1110</v>
      </c>
      <c r="N299" t="s">
        <v>1111</v>
      </c>
      <c r="O299" t="s">
        <v>40</v>
      </c>
    </row>
    <row r="300" spans="1:15" x14ac:dyDescent="0.25">
      <c r="A300">
        <v>10</v>
      </c>
      <c r="B300" t="s">
        <v>1322</v>
      </c>
      <c r="C300">
        <v>38</v>
      </c>
      <c r="D300">
        <v>13</v>
      </c>
      <c r="E300">
        <v>8</v>
      </c>
      <c r="F300">
        <v>17</v>
      </c>
      <c r="G300">
        <v>43</v>
      </c>
      <c r="H300">
        <v>57</v>
      </c>
      <c r="I300">
        <v>-14</v>
      </c>
      <c r="J300">
        <v>47</v>
      </c>
      <c r="K300">
        <v>1.24</v>
      </c>
      <c r="M300" t="s">
        <v>1112</v>
      </c>
      <c r="N300" t="s">
        <v>1037</v>
      </c>
    </row>
    <row r="301" spans="1:15" x14ac:dyDescent="0.25">
      <c r="A301">
        <v>11</v>
      </c>
      <c r="B301" t="s">
        <v>1319</v>
      </c>
      <c r="C301">
        <v>38</v>
      </c>
      <c r="D301">
        <v>12</v>
      </c>
      <c r="E301">
        <v>10</v>
      </c>
      <c r="F301">
        <v>16</v>
      </c>
      <c r="G301">
        <v>40</v>
      </c>
      <c r="H301">
        <v>57</v>
      </c>
      <c r="I301">
        <v>-17</v>
      </c>
      <c r="J301">
        <v>46</v>
      </c>
      <c r="K301">
        <v>1.21</v>
      </c>
      <c r="M301" t="s">
        <v>1113</v>
      </c>
      <c r="N301" t="s">
        <v>1114</v>
      </c>
    </row>
    <row r="302" spans="1:15" x14ac:dyDescent="0.25">
      <c r="A302">
        <v>12</v>
      </c>
      <c r="B302" t="s">
        <v>1313</v>
      </c>
      <c r="C302">
        <v>38</v>
      </c>
      <c r="D302">
        <v>12</v>
      </c>
      <c r="E302">
        <v>9</v>
      </c>
      <c r="F302">
        <v>17</v>
      </c>
      <c r="G302">
        <v>44</v>
      </c>
      <c r="H302">
        <v>65</v>
      </c>
      <c r="I302">
        <v>-21</v>
      </c>
      <c r="J302">
        <v>45</v>
      </c>
      <c r="K302">
        <v>1.18</v>
      </c>
      <c r="M302" t="s">
        <v>1115</v>
      </c>
      <c r="N302" t="s">
        <v>906</v>
      </c>
    </row>
    <row r="303" spans="1:15" x14ac:dyDescent="0.25">
      <c r="A303">
        <v>13</v>
      </c>
      <c r="B303" t="s">
        <v>1323</v>
      </c>
      <c r="C303">
        <v>38</v>
      </c>
      <c r="D303">
        <v>11</v>
      </c>
      <c r="E303">
        <v>11</v>
      </c>
      <c r="F303">
        <v>16</v>
      </c>
      <c r="G303">
        <v>43</v>
      </c>
      <c r="H303">
        <v>52</v>
      </c>
      <c r="I303">
        <v>-9</v>
      </c>
      <c r="J303">
        <v>44</v>
      </c>
      <c r="K303">
        <v>1.1599999999999999</v>
      </c>
      <c r="M303" t="s">
        <v>1116</v>
      </c>
      <c r="N303" t="s">
        <v>1045</v>
      </c>
    </row>
    <row r="304" spans="1:15" x14ac:dyDescent="0.25">
      <c r="A304">
        <v>14</v>
      </c>
      <c r="B304" t="s">
        <v>1328</v>
      </c>
      <c r="C304">
        <v>38</v>
      </c>
      <c r="D304">
        <v>11</v>
      </c>
      <c r="E304">
        <v>10</v>
      </c>
      <c r="F304">
        <v>17</v>
      </c>
      <c r="G304">
        <v>49</v>
      </c>
      <c r="H304">
        <v>58</v>
      </c>
      <c r="I304">
        <v>-9</v>
      </c>
      <c r="J304">
        <v>43</v>
      </c>
      <c r="K304">
        <v>1.1299999999999999</v>
      </c>
      <c r="M304" t="s">
        <v>1117</v>
      </c>
      <c r="N304" t="s">
        <v>1118</v>
      </c>
    </row>
    <row r="305" spans="1:15" x14ac:dyDescent="0.25">
      <c r="A305">
        <v>15</v>
      </c>
      <c r="B305" t="s">
        <v>1324</v>
      </c>
      <c r="C305">
        <v>38</v>
      </c>
      <c r="D305">
        <v>11</v>
      </c>
      <c r="E305">
        <v>9</v>
      </c>
      <c r="F305">
        <v>18</v>
      </c>
      <c r="G305">
        <v>37</v>
      </c>
      <c r="H305">
        <v>54</v>
      </c>
      <c r="I305">
        <v>-17</v>
      </c>
      <c r="J305">
        <v>42</v>
      </c>
      <c r="K305">
        <v>1.1100000000000001</v>
      </c>
      <c r="M305" t="s">
        <v>1056</v>
      </c>
      <c r="N305" t="s">
        <v>1047</v>
      </c>
    </row>
    <row r="306" spans="1:15" x14ac:dyDescent="0.25">
      <c r="A306">
        <v>16</v>
      </c>
      <c r="B306" t="s">
        <v>1327</v>
      </c>
      <c r="C306">
        <v>38</v>
      </c>
      <c r="D306">
        <v>10</v>
      </c>
      <c r="E306">
        <v>9</v>
      </c>
      <c r="F306">
        <v>19</v>
      </c>
      <c r="G306">
        <v>33</v>
      </c>
      <c r="H306">
        <v>50</v>
      </c>
      <c r="I306">
        <v>-17</v>
      </c>
      <c r="J306">
        <v>39</v>
      </c>
      <c r="K306">
        <v>1.03</v>
      </c>
      <c r="M306" t="s">
        <v>1119</v>
      </c>
      <c r="N306" t="s">
        <v>918</v>
      </c>
    </row>
    <row r="307" spans="1:15" x14ac:dyDescent="0.25">
      <c r="A307">
        <v>17</v>
      </c>
      <c r="B307" t="s">
        <v>1318</v>
      </c>
      <c r="C307">
        <v>38</v>
      </c>
      <c r="D307">
        <v>10</v>
      </c>
      <c r="E307">
        <v>7</v>
      </c>
      <c r="F307">
        <v>21</v>
      </c>
      <c r="G307">
        <v>37</v>
      </c>
      <c r="H307">
        <v>52</v>
      </c>
      <c r="I307">
        <v>-15</v>
      </c>
      <c r="J307">
        <v>37</v>
      </c>
      <c r="K307">
        <v>0.97</v>
      </c>
      <c r="M307" t="s">
        <v>606</v>
      </c>
      <c r="N307" t="s">
        <v>889</v>
      </c>
    </row>
    <row r="308" spans="1:15" x14ac:dyDescent="0.25">
      <c r="A308">
        <v>18</v>
      </c>
      <c r="B308" t="s">
        <v>1330</v>
      </c>
      <c r="C308">
        <v>38</v>
      </c>
      <c r="D308">
        <v>9</v>
      </c>
      <c r="E308">
        <v>9</v>
      </c>
      <c r="F308">
        <v>20</v>
      </c>
      <c r="G308">
        <v>43</v>
      </c>
      <c r="H308">
        <v>72</v>
      </c>
      <c r="I308">
        <v>-29</v>
      </c>
      <c r="J308">
        <v>36</v>
      </c>
      <c r="K308">
        <v>0.95</v>
      </c>
      <c r="M308" t="s">
        <v>1120</v>
      </c>
      <c r="N308" t="s">
        <v>1121</v>
      </c>
      <c r="O308" t="s">
        <v>617</v>
      </c>
    </row>
    <row r="309" spans="1:15" x14ac:dyDescent="0.25">
      <c r="A309">
        <v>19</v>
      </c>
      <c r="B309" t="s">
        <v>1331</v>
      </c>
      <c r="C309">
        <v>38</v>
      </c>
      <c r="D309">
        <v>8</v>
      </c>
      <c r="E309">
        <v>11</v>
      </c>
      <c r="F309">
        <v>19</v>
      </c>
      <c r="G309">
        <v>47</v>
      </c>
      <c r="H309">
        <v>70</v>
      </c>
      <c r="I309">
        <v>-23</v>
      </c>
      <c r="J309">
        <v>35</v>
      </c>
      <c r="K309">
        <v>0.92</v>
      </c>
      <c r="M309" t="s">
        <v>1122</v>
      </c>
      <c r="N309" t="s">
        <v>1123</v>
      </c>
      <c r="O309" t="s">
        <v>617</v>
      </c>
    </row>
    <row r="310" spans="1:15" x14ac:dyDescent="0.25">
      <c r="A310">
        <v>20</v>
      </c>
      <c r="B310" t="s">
        <v>1332</v>
      </c>
      <c r="C310">
        <v>38</v>
      </c>
      <c r="D310">
        <v>9</v>
      </c>
      <c r="E310">
        <v>7</v>
      </c>
      <c r="F310">
        <v>22</v>
      </c>
      <c r="G310">
        <v>37</v>
      </c>
      <c r="H310">
        <v>62</v>
      </c>
      <c r="I310">
        <v>-25</v>
      </c>
      <c r="J310">
        <v>34</v>
      </c>
      <c r="K310">
        <v>0.89</v>
      </c>
      <c r="M310" t="s">
        <v>1124</v>
      </c>
      <c r="N310" t="s">
        <v>1057</v>
      </c>
      <c r="O310" t="s">
        <v>617</v>
      </c>
    </row>
    <row r="312" spans="1:15" x14ac:dyDescent="0.25">
      <c r="A312" t="s">
        <v>1069</v>
      </c>
    </row>
    <row r="314" spans="1:15" x14ac:dyDescent="0.25">
      <c r="A314" t="s">
        <v>641</v>
      </c>
      <c r="B314" t="s">
        <v>15</v>
      </c>
      <c r="C314" t="s">
        <v>17</v>
      </c>
      <c r="D314" t="s">
        <v>18</v>
      </c>
      <c r="E314" t="s">
        <v>4</v>
      </c>
      <c r="F314" t="s">
        <v>19</v>
      </c>
      <c r="G314" t="s">
        <v>20</v>
      </c>
      <c r="H314" t="s">
        <v>21</v>
      </c>
      <c r="I314" t="s">
        <v>22</v>
      </c>
      <c r="J314" t="s">
        <v>23</v>
      </c>
      <c r="K314" t="s">
        <v>578</v>
      </c>
      <c r="L314" t="s">
        <v>24</v>
      </c>
      <c r="M314" t="s">
        <v>25</v>
      </c>
      <c r="N314" t="s">
        <v>26</v>
      </c>
      <c r="O314" t="s">
        <v>27</v>
      </c>
    </row>
    <row r="315" spans="1:15" x14ac:dyDescent="0.25">
      <c r="A315">
        <v>1</v>
      </c>
      <c r="B315" t="s">
        <v>1312</v>
      </c>
      <c r="C315">
        <v>38</v>
      </c>
      <c r="D315">
        <v>32</v>
      </c>
      <c r="E315">
        <v>4</v>
      </c>
      <c r="F315">
        <v>2</v>
      </c>
      <c r="G315">
        <v>121</v>
      </c>
      <c r="H315">
        <v>32</v>
      </c>
      <c r="I315">
        <v>89</v>
      </c>
      <c r="J315">
        <v>100</v>
      </c>
      <c r="K315">
        <v>2.63</v>
      </c>
      <c r="M315" t="s">
        <v>1125</v>
      </c>
      <c r="N315" t="s">
        <v>1036</v>
      </c>
      <c r="O315" t="s">
        <v>36</v>
      </c>
    </row>
    <row r="316" spans="1:15" x14ac:dyDescent="0.25">
      <c r="A316">
        <v>2</v>
      </c>
      <c r="B316" t="s">
        <v>1311</v>
      </c>
      <c r="C316">
        <v>38</v>
      </c>
      <c r="D316">
        <v>28</v>
      </c>
      <c r="E316">
        <v>7</v>
      </c>
      <c r="F316">
        <v>3</v>
      </c>
      <c r="G316">
        <v>114</v>
      </c>
      <c r="H316">
        <v>29</v>
      </c>
      <c r="I316">
        <v>85</v>
      </c>
      <c r="J316">
        <v>91</v>
      </c>
      <c r="K316">
        <v>2.39</v>
      </c>
      <c r="M316" t="s">
        <v>1126</v>
      </c>
      <c r="N316" t="s">
        <v>1078</v>
      </c>
      <c r="O316" t="s">
        <v>36</v>
      </c>
    </row>
    <row r="317" spans="1:15" x14ac:dyDescent="0.25">
      <c r="A317">
        <v>3</v>
      </c>
      <c r="B317" t="s">
        <v>1317</v>
      </c>
      <c r="C317">
        <v>38</v>
      </c>
      <c r="D317">
        <v>17</v>
      </c>
      <c r="E317">
        <v>10</v>
      </c>
      <c r="F317">
        <v>11</v>
      </c>
      <c r="G317">
        <v>59</v>
      </c>
      <c r="H317">
        <v>44</v>
      </c>
      <c r="I317">
        <v>15</v>
      </c>
      <c r="J317">
        <v>61</v>
      </c>
      <c r="K317">
        <v>1.61</v>
      </c>
      <c r="M317" t="s">
        <v>1127</v>
      </c>
      <c r="N317" t="s">
        <v>41</v>
      </c>
      <c r="O317" t="s">
        <v>36</v>
      </c>
    </row>
    <row r="318" spans="1:15" x14ac:dyDescent="0.25">
      <c r="A318">
        <v>4</v>
      </c>
      <c r="B318" t="s">
        <v>1320</v>
      </c>
      <c r="C318">
        <v>38</v>
      </c>
      <c r="D318">
        <v>17</v>
      </c>
      <c r="E318">
        <v>7</v>
      </c>
      <c r="F318">
        <v>14</v>
      </c>
      <c r="G318">
        <v>54</v>
      </c>
      <c r="H318">
        <v>53</v>
      </c>
      <c r="I318">
        <v>1</v>
      </c>
      <c r="J318">
        <v>58</v>
      </c>
      <c r="K318">
        <v>1.53</v>
      </c>
      <c r="M318" t="s">
        <v>1128</v>
      </c>
      <c r="N318" t="s">
        <v>1089</v>
      </c>
      <c r="O318" t="s">
        <v>36</v>
      </c>
    </row>
    <row r="319" spans="1:15" x14ac:dyDescent="0.25">
      <c r="A319">
        <v>5</v>
      </c>
      <c r="B319" t="s">
        <v>1310</v>
      </c>
      <c r="C319">
        <v>38</v>
      </c>
      <c r="D319">
        <v>15</v>
      </c>
      <c r="E319">
        <v>11</v>
      </c>
      <c r="F319">
        <v>12</v>
      </c>
      <c r="G319">
        <v>53</v>
      </c>
      <c r="H319">
        <v>46</v>
      </c>
      <c r="I319">
        <v>7</v>
      </c>
      <c r="J319">
        <v>56</v>
      </c>
      <c r="K319">
        <v>1.47</v>
      </c>
      <c r="M319" t="s">
        <v>1129</v>
      </c>
      <c r="N319" t="s">
        <v>584</v>
      </c>
      <c r="O319" t="s">
        <v>1082</v>
      </c>
    </row>
    <row r="320" spans="1:15" x14ac:dyDescent="0.25">
      <c r="A320">
        <v>6</v>
      </c>
      <c r="B320" t="s">
        <v>1319</v>
      </c>
      <c r="C320">
        <v>38</v>
      </c>
      <c r="D320">
        <v>16</v>
      </c>
      <c r="E320">
        <v>7</v>
      </c>
      <c r="F320">
        <v>15</v>
      </c>
      <c r="G320">
        <v>54</v>
      </c>
      <c r="H320">
        <v>50</v>
      </c>
      <c r="I320">
        <v>4</v>
      </c>
      <c r="J320">
        <v>55</v>
      </c>
      <c r="K320">
        <v>1.45</v>
      </c>
      <c r="M320" t="s">
        <v>1130</v>
      </c>
      <c r="N320" t="s">
        <v>1114</v>
      </c>
      <c r="O320" t="s">
        <v>40</v>
      </c>
    </row>
    <row r="321" spans="1:15" x14ac:dyDescent="0.25">
      <c r="A321">
        <v>7</v>
      </c>
      <c r="B321" t="s">
        <v>1327</v>
      </c>
      <c r="C321">
        <v>38</v>
      </c>
      <c r="D321">
        <v>13</v>
      </c>
      <c r="E321">
        <v>15</v>
      </c>
      <c r="F321">
        <v>10</v>
      </c>
      <c r="G321">
        <v>44</v>
      </c>
      <c r="H321">
        <v>61</v>
      </c>
      <c r="I321">
        <v>-17</v>
      </c>
      <c r="J321">
        <v>54</v>
      </c>
      <c r="K321">
        <v>1.42</v>
      </c>
      <c r="M321" t="s">
        <v>1131</v>
      </c>
      <c r="N321" t="s">
        <v>918</v>
      </c>
    </row>
    <row r="322" spans="1:15" x14ac:dyDescent="0.25">
      <c r="A322">
        <v>8</v>
      </c>
      <c r="B322" t="s">
        <v>1330</v>
      </c>
      <c r="C322">
        <v>38</v>
      </c>
      <c r="D322">
        <v>14</v>
      </c>
      <c r="E322">
        <v>10</v>
      </c>
      <c r="F322">
        <v>14</v>
      </c>
      <c r="G322">
        <v>42</v>
      </c>
      <c r="H322">
        <v>46</v>
      </c>
      <c r="I322">
        <v>-4</v>
      </c>
      <c r="J322">
        <v>52</v>
      </c>
      <c r="K322">
        <v>1.37</v>
      </c>
      <c r="M322" t="s">
        <v>1132</v>
      </c>
      <c r="N322" t="s">
        <v>1121</v>
      </c>
    </row>
    <row r="323" spans="1:15" x14ac:dyDescent="0.25">
      <c r="A323">
        <v>9</v>
      </c>
      <c r="B323" t="s">
        <v>1314</v>
      </c>
      <c r="C323">
        <v>38</v>
      </c>
      <c r="D323">
        <v>13</v>
      </c>
      <c r="E323">
        <v>11</v>
      </c>
      <c r="F323">
        <v>14</v>
      </c>
      <c r="G323">
        <v>48</v>
      </c>
      <c r="H323">
        <v>47</v>
      </c>
      <c r="I323">
        <v>1</v>
      </c>
      <c r="J323">
        <v>50</v>
      </c>
      <c r="K323">
        <v>1.32</v>
      </c>
      <c r="M323" t="s">
        <v>1133</v>
      </c>
      <c r="N323" t="s">
        <v>889</v>
      </c>
    </row>
    <row r="324" spans="1:15" x14ac:dyDescent="0.25">
      <c r="A324">
        <v>10</v>
      </c>
      <c r="B324" t="s">
        <v>1313</v>
      </c>
      <c r="C324">
        <v>38</v>
      </c>
      <c r="D324">
        <v>12</v>
      </c>
      <c r="E324">
        <v>13</v>
      </c>
      <c r="F324">
        <v>13</v>
      </c>
      <c r="G324">
        <v>49</v>
      </c>
      <c r="H324">
        <v>52</v>
      </c>
      <c r="I324">
        <v>-3</v>
      </c>
      <c r="J324">
        <v>49</v>
      </c>
      <c r="K324">
        <v>1.29</v>
      </c>
      <c r="M324" t="s">
        <v>1134</v>
      </c>
      <c r="N324" t="s">
        <v>906</v>
      </c>
      <c r="O324" t="s">
        <v>1135</v>
      </c>
    </row>
    <row r="325" spans="1:15" x14ac:dyDescent="0.25">
      <c r="A325">
        <v>11</v>
      </c>
      <c r="B325" t="s">
        <v>1322</v>
      </c>
      <c r="C325">
        <v>38</v>
      </c>
      <c r="D325">
        <v>12</v>
      </c>
      <c r="E325">
        <v>11</v>
      </c>
      <c r="F325">
        <v>15</v>
      </c>
      <c r="G325">
        <v>40</v>
      </c>
      <c r="H325">
        <v>51</v>
      </c>
      <c r="I325">
        <v>-11</v>
      </c>
      <c r="J325">
        <v>47</v>
      </c>
      <c r="K325">
        <v>1.24</v>
      </c>
      <c r="M325" t="s">
        <v>1136</v>
      </c>
      <c r="N325" t="s">
        <v>1037</v>
      </c>
    </row>
    <row r="326" spans="1:15" x14ac:dyDescent="0.25">
      <c r="A326">
        <v>12</v>
      </c>
      <c r="B326" t="s">
        <v>1316</v>
      </c>
      <c r="C326">
        <v>38</v>
      </c>
      <c r="D326">
        <v>12</v>
      </c>
      <c r="E326">
        <v>11</v>
      </c>
      <c r="F326">
        <v>15</v>
      </c>
      <c r="G326">
        <v>46</v>
      </c>
      <c r="H326">
        <v>52</v>
      </c>
      <c r="I326">
        <v>-6</v>
      </c>
      <c r="J326">
        <v>47</v>
      </c>
      <c r="K326">
        <v>1.24</v>
      </c>
      <c r="M326" t="s">
        <v>1137</v>
      </c>
      <c r="N326" t="s">
        <v>779</v>
      </c>
    </row>
    <row r="327" spans="1:15" x14ac:dyDescent="0.25">
      <c r="A327">
        <v>13</v>
      </c>
      <c r="B327" t="s">
        <v>1329</v>
      </c>
      <c r="C327">
        <v>38</v>
      </c>
      <c r="D327">
        <v>13</v>
      </c>
      <c r="E327">
        <v>8</v>
      </c>
      <c r="F327">
        <v>17</v>
      </c>
      <c r="G327">
        <v>47</v>
      </c>
      <c r="H327">
        <v>56</v>
      </c>
      <c r="I327">
        <v>-9</v>
      </c>
      <c r="J327">
        <v>47</v>
      </c>
      <c r="K327">
        <v>1.24</v>
      </c>
      <c r="M327" t="s">
        <v>1138</v>
      </c>
      <c r="N327" t="s">
        <v>1139</v>
      </c>
    </row>
    <row r="328" spans="1:15" x14ac:dyDescent="0.25">
      <c r="A328">
        <v>14</v>
      </c>
      <c r="B328" t="s">
        <v>1323</v>
      </c>
      <c r="C328">
        <v>38</v>
      </c>
      <c r="D328">
        <v>12</v>
      </c>
      <c r="E328">
        <v>10</v>
      </c>
      <c r="F328">
        <v>16</v>
      </c>
      <c r="G328">
        <v>46</v>
      </c>
      <c r="H328">
        <v>56</v>
      </c>
      <c r="I328">
        <v>-10</v>
      </c>
      <c r="J328">
        <v>46</v>
      </c>
      <c r="K328">
        <v>1.21</v>
      </c>
      <c r="M328" t="s">
        <v>1140</v>
      </c>
      <c r="N328" t="s">
        <v>1141</v>
      </c>
    </row>
    <row r="329" spans="1:15" x14ac:dyDescent="0.25">
      <c r="A329">
        <v>15</v>
      </c>
      <c r="B329" t="s">
        <v>1321</v>
      </c>
      <c r="C329">
        <v>38</v>
      </c>
      <c r="D329">
        <v>13</v>
      </c>
      <c r="E329">
        <v>4</v>
      </c>
      <c r="F329">
        <v>21</v>
      </c>
      <c r="G329">
        <v>53</v>
      </c>
      <c r="H329">
        <v>73</v>
      </c>
      <c r="I329">
        <v>-20</v>
      </c>
      <c r="J329">
        <v>43</v>
      </c>
      <c r="K329">
        <v>1.1299999999999999</v>
      </c>
      <c r="M329" t="s">
        <v>1142</v>
      </c>
      <c r="N329" t="s">
        <v>1143</v>
      </c>
    </row>
    <row r="330" spans="1:15" x14ac:dyDescent="0.25">
      <c r="A330">
        <v>16</v>
      </c>
      <c r="B330" t="s">
        <v>1332</v>
      </c>
      <c r="C330">
        <v>38</v>
      </c>
      <c r="D330">
        <v>12</v>
      </c>
      <c r="E330">
        <v>7</v>
      </c>
      <c r="F330">
        <v>19</v>
      </c>
      <c r="G330">
        <v>36</v>
      </c>
      <c r="H330">
        <v>61</v>
      </c>
      <c r="I330">
        <v>-25</v>
      </c>
      <c r="J330">
        <v>43</v>
      </c>
      <c r="K330">
        <v>1.1299999999999999</v>
      </c>
      <c r="M330" t="s">
        <v>1144</v>
      </c>
      <c r="N330" t="s">
        <v>1057</v>
      </c>
    </row>
    <row r="331" spans="1:15" x14ac:dyDescent="0.25">
      <c r="A331">
        <v>17</v>
      </c>
      <c r="B331" t="s">
        <v>1324</v>
      </c>
      <c r="C331">
        <v>38</v>
      </c>
      <c r="D331">
        <v>12</v>
      </c>
      <c r="E331">
        <v>6</v>
      </c>
      <c r="F331">
        <v>20</v>
      </c>
      <c r="G331">
        <v>35</v>
      </c>
      <c r="H331">
        <v>56</v>
      </c>
      <c r="I331">
        <v>-21</v>
      </c>
      <c r="J331">
        <v>42</v>
      </c>
      <c r="K331">
        <v>1.1100000000000001</v>
      </c>
      <c r="M331" t="s">
        <v>1145</v>
      </c>
      <c r="N331" t="s">
        <v>1057</v>
      </c>
    </row>
    <row r="332" spans="1:15" x14ac:dyDescent="0.25">
      <c r="A332">
        <v>18</v>
      </c>
      <c r="B332" t="s">
        <v>1315</v>
      </c>
      <c r="C332">
        <v>38</v>
      </c>
      <c r="D332">
        <v>9</v>
      </c>
      <c r="E332">
        <v>14</v>
      </c>
      <c r="F332">
        <v>15</v>
      </c>
      <c r="G332">
        <v>39</v>
      </c>
      <c r="H332">
        <v>53</v>
      </c>
      <c r="I332">
        <v>-14</v>
      </c>
      <c r="J332">
        <v>41</v>
      </c>
      <c r="K332">
        <v>1.08</v>
      </c>
      <c r="M332" t="s">
        <v>1146</v>
      </c>
      <c r="N332" t="s">
        <v>762</v>
      </c>
      <c r="O332" t="s">
        <v>617</v>
      </c>
    </row>
    <row r="333" spans="1:15" x14ac:dyDescent="0.25">
      <c r="A333">
        <v>19</v>
      </c>
      <c r="B333" t="s">
        <v>1333</v>
      </c>
      <c r="C333">
        <v>38</v>
      </c>
      <c r="D333">
        <v>10</v>
      </c>
      <c r="E333">
        <v>7</v>
      </c>
      <c r="F333">
        <v>21</v>
      </c>
      <c r="G333">
        <v>42</v>
      </c>
      <c r="H333">
        <v>69</v>
      </c>
      <c r="I333">
        <v>-27</v>
      </c>
      <c r="J333">
        <v>37</v>
      </c>
      <c r="K333">
        <v>0.97</v>
      </c>
      <c r="M333" t="s">
        <v>1147</v>
      </c>
      <c r="N333" t="s">
        <v>1148</v>
      </c>
      <c r="O333" t="s">
        <v>617</v>
      </c>
    </row>
    <row r="334" spans="1:15" x14ac:dyDescent="0.25">
      <c r="A334">
        <v>20</v>
      </c>
      <c r="B334" t="s">
        <v>1334</v>
      </c>
      <c r="C334">
        <v>38</v>
      </c>
      <c r="D334">
        <v>4</v>
      </c>
      <c r="E334">
        <v>15</v>
      </c>
      <c r="F334">
        <v>19</v>
      </c>
      <c r="G334">
        <v>28</v>
      </c>
      <c r="H334">
        <v>63</v>
      </c>
      <c r="I334">
        <v>-35</v>
      </c>
      <c r="J334">
        <v>27</v>
      </c>
      <c r="K334">
        <v>0.71</v>
      </c>
      <c r="M334" t="s">
        <v>1149</v>
      </c>
      <c r="N334" t="s">
        <v>1047</v>
      </c>
      <c r="O334" t="s">
        <v>617</v>
      </c>
    </row>
    <row r="336" spans="1:15" x14ac:dyDescent="0.25">
      <c r="A336" t="s">
        <v>1070</v>
      </c>
    </row>
    <row r="338" spans="1:15" x14ac:dyDescent="0.25">
      <c r="A338" t="s">
        <v>641</v>
      </c>
      <c r="B338" t="s">
        <v>15</v>
      </c>
      <c r="C338" t="s">
        <v>17</v>
      </c>
      <c r="D338" t="s">
        <v>18</v>
      </c>
      <c r="E338" t="s">
        <v>4</v>
      </c>
      <c r="F338" t="s">
        <v>19</v>
      </c>
      <c r="G338" t="s">
        <v>20</v>
      </c>
      <c r="H338" t="s">
        <v>21</v>
      </c>
      <c r="I338" t="s">
        <v>22</v>
      </c>
      <c r="J338" t="s">
        <v>23</v>
      </c>
      <c r="K338" t="s">
        <v>578</v>
      </c>
      <c r="L338" t="s">
        <v>24</v>
      </c>
      <c r="M338" t="s">
        <v>25</v>
      </c>
      <c r="N338" t="s">
        <v>26</v>
      </c>
      <c r="O338" t="s">
        <v>27</v>
      </c>
    </row>
    <row r="339" spans="1:15" x14ac:dyDescent="0.25">
      <c r="A339">
        <v>1</v>
      </c>
      <c r="B339" t="s">
        <v>1311</v>
      </c>
      <c r="C339">
        <v>38</v>
      </c>
      <c r="D339">
        <v>30</v>
      </c>
      <c r="E339">
        <v>6</v>
      </c>
      <c r="F339">
        <v>2</v>
      </c>
      <c r="G339">
        <v>95</v>
      </c>
      <c r="H339">
        <v>21</v>
      </c>
      <c r="I339">
        <v>74</v>
      </c>
      <c r="J339">
        <v>96</v>
      </c>
      <c r="K339">
        <v>2.5299999999999998</v>
      </c>
      <c r="M339" t="s">
        <v>1150</v>
      </c>
      <c r="N339" t="s">
        <v>1078</v>
      </c>
      <c r="O339" t="s">
        <v>851</v>
      </c>
    </row>
    <row r="340" spans="1:15" x14ac:dyDescent="0.25">
      <c r="A340">
        <v>2</v>
      </c>
      <c r="B340" t="s">
        <v>1312</v>
      </c>
      <c r="C340">
        <v>38</v>
      </c>
      <c r="D340">
        <v>29</v>
      </c>
      <c r="E340">
        <v>5</v>
      </c>
      <c r="F340">
        <v>4</v>
      </c>
      <c r="G340">
        <v>102</v>
      </c>
      <c r="H340">
        <v>33</v>
      </c>
      <c r="I340">
        <v>69</v>
      </c>
      <c r="J340">
        <v>92</v>
      </c>
      <c r="K340">
        <v>2.42</v>
      </c>
      <c r="M340" t="s">
        <v>1151</v>
      </c>
      <c r="N340" t="s">
        <v>1036</v>
      </c>
      <c r="O340" t="s">
        <v>36</v>
      </c>
    </row>
    <row r="341" spans="1:15" x14ac:dyDescent="0.25">
      <c r="A341">
        <v>3</v>
      </c>
      <c r="B341" t="s">
        <v>1317</v>
      </c>
      <c r="C341">
        <v>38</v>
      </c>
      <c r="D341">
        <v>21</v>
      </c>
      <c r="E341">
        <v>8</v>
      </c>
      <c r="F341">
        <v>9</v>
      </c>
      <c r="G341">
        <v>64</v>
      </c>
      <c r="H341">
        <v>44</v>
      </c>
      <c r="I341">
        <v>20</v>
      </c>
      <c r="J341">
        <v>71</v>
      </c>
      <c r="K341">
        <v>1.87</v>
      </c>
      <c r="M341" t="s">
        <v>1152</v>
      </c>
      <c r="N341" t="s">
        <v>41</v>
      </c>
      <c r="O341" t="s">
        <v>36</v>
      </c>
    </row>
    <row r="342" spans="1:15" x14ac:dyDescent="0.25">
      <c r="A342">
        <v>4</v>
      </c>
      <c r="B342" t="s">
        <v>1315</v>
      </c>
      <c r="C342">
        <v>38</v>
      </c>
      <c r="D342">
        <v>18</v>
      </c>
      <c r="E342">
        <v>8</v>
      </c>
      <c r="F342">
        <v>12</v>
      </c>
      <c r="G342">
        <v>54</v>
      </c>
      <c r="H342">
        <v>44</v>
      </c>
      <c r="I342">
        <v>10</v>
      </c>
      <c r="J342">
        <v>62</v>
      </c>
      <c r="K342">
        <v>1.63</v>
      </c>
      <c r="M342" t="s">
        <v>1153</v>
      </c>
      <c r="N342" t="s">
        <v>762</v>
      </c>
      <c r="O342" t="s">
        <v>36</v>
      </c>
    </row>
    <row r="343" spans="1:15" x14ac:dyDescent="0.25">
      <c r="A343">
        <v>5</v>
      </c>
      <c r="B343" t="s">
        <v>1314</v>
      </c>
      <c r="C343">
        <v>38</v>
      </c>
      <c r="D343">
        <v>17</v>
      </c>
      <c r="E343">
        <v>7</v>
      </c>
      <c r="F343">
        <v>14</v>
      </c>
      <c r="G343">
        <v>62</v>
      </c>
      <c r="H343">
        <v>61</v>
      </c>
      <c r="I343">
        <v>1</v>
      </c>
      <c r="J343">
        <v>58</v>
      </c>
      <c r="K343">
        <v>1.53</v>
      </c>
      <c r="M343" t="s">
        <v>1154</v>
      </c>
      <c r="N343" t="s">
        <v>889</v>
      </c>
      <c r="O343" t="s">
        <v>40</v>
      </c>
    </row>
    <row r="344" spans="1:15" x14ac:dyDescent="0.25">
      <c r="A344">
        <v>6</v>
      </c>
      <c r="B344" t="s">
        <v>1313</v>
      </c>
      <c r="C344">
        <v>38</v>
      </c>
      <c r="D344">
        <v>18</v>
      </c>
      <c r="E344">
        <v>4</v>
      </c>
      <c r="F344">
        <v>16</v>
      </c>
      <c r="G344">
        <v>59</v>
      </c>
      <c r="H344">
        <v>55</v>
      </c>
      <c r="I344">
        <v>4</v>
      </c>
      <c r="J344">
        <v>58</v>
      </c>
      <c r="K344">
        <v>1.53</v>
      </c>
      <c r="M344" t="s">
        <v>1155</v>
      </c>
      <c r="N344" t="s">
        <v>906</v>
      </c>
      <c r="O344" t="s">
        <v>780</v>
      </c>
    </row>
    <row r="345" spans="1:15" x14ac:dyDescent="0.25">
      <c r="A345">
        <v>7</v>
      </c>
      <c r="B345" t="s">
        <v>1310</v>
      </c>
      <c r="C345">
        <v>38</v>
      </c>
      <c r="D345">
        <v>17</v>
      </c>
      <c r="E345">
        <v>7</v>
      </c>
      <c r="F345">
        <v>14</v>
      </c>
      <c r="G345">
        <v>62</v>
      </c>
      <c r="H345">
        <v>53</v>
      </c>
      <c r="I345">
        <v>9</v>
      </c>
      <c r="J345">
        <v>58</v>
      </c>
      <c r="K345">
        <v>1.53</v>
      </c>
      <c r="M345" t="s">
        <v>1156</v>
      </c>
      <c r="N345" t="s">
        <v>1157</v>
      </c>
      <c r="O345" t="s">
        <v>40</v>
      </c>
    </row>
    <row r="346" spans="1:15" x14ac:dyDescent="0.25">
      <c r="A346">
        <v>8</v>
      </c>
      <c r="B346" t="s">
        <v>1323</v>
      </c>
      <c r="C346">
        <v>38</v>
      </c>
      <c r="D346">
        <v>15</v>
      </c>
      <c r="E346">
        <v>4</v>
      </c>
      <c r="F346">
        <v>19</v>
      </c>
      <c r="G346">
        <v>46</v>
      </c>
      <c r="H346">
        <v>55</v>
      </c>
      <c r="I346">
        <v>-9</v>
      </c>
      <c r="J346">
        <v>49</v>
      </c>
      <c r="K346">
        <v>1.29</v>
      </c>
      <c r="M346" t="s">
        <v>1158</v>
      </c>
      <c r="N346" t="s">
        <v>884</v>
      </c>
    </row>
    <row r="347" spans="1:15" x14ac:dyDescent="0.25">
      <c r="A347">
        <v>9</v>
      </c>
      <c r="B347" t="s">
        <v>1327</v>
      </c>
      <c r="C347">
        <v>38</v>
      </c>
      <c r="D347">
        <v>13</v>
      </c>
      <c r="E347">
        <v>8</v>
      </c>
      <c r="F347">
        <v>17</v>
      </c>
      <c r="G347">
        <v>45</v>
      </c>
      <c r="H347">
        <v>46</v>
      </c>
      <c r="I347">
        <v>-1</v>
      </c>
      <c r="J347">
        <v>47</v>
      </c>
      <c r="K347">
        <v>1.24</v>
      </c>
      <c r="M347" t="s">
        <v>1159</v>
      </c>
      <c r="N347" t="s">
        <v>1160</v>
      </c>
    </row>
    <row r="348" spans="1:15" x14ac:dyDescent="0.25">
      <c r="A348">
        <v>10</v>
      </c>
      <c r="B348" t="s">
        <v>1333</v>
      </c>
      <c r="C348">
        <v>38</v>
      </c>
      <c r="D348">
        <v>11</v>
      </c>
      <c r="E348">
        <v>14</v>
      </c>
      <c r="F348">
        <v>13</v>
      </c>
      <c r="G348">
        <v>35</v>
      </c>
      <c r="H348">
        <v>42</v>
      </c>
      <c r="I348">
        <v>-7</v>
      </c>
      <c r="J348">
        <v>47</v>
      </c>
      <c r="K348">
        <v>1.24</v>
      </c>
      <c r="M348" t="s">
        <v>1161</v>
      </c>
      <c r="N348" t="s">
        <v>1148</v>
      </c>
    </row>
    <row r="349" spans="1:15" x14ac:dyDescent="0.25">
      <c r="A349">
        <v>11</v>
      </c>
      <c r="B349" t="s">
        <v>1320</v>
      </c>
      <c r="C349">
        <v>38</v>
      </c>
      <c r="D349">
        <v>13</v>
      </c>
      <c r="E349">
        <v>7</v>
      </c>
      <c r="F349">
        <v>18</v>
      </c>
      <c r="G349">
        <v>54</v>
      </c>
      <c r="H349">
        <v>68</v>
      </c>
      <c r="I349">
        <v>-14</v>
      </c>
      <c r="J349">
        <v>46</v>
      </c>
      <c r="K349">
        <v>1.21</v>
      </c>
      <c r="M349" t="s">
        <v>1162</v>
      </c>
      <c r="N349" t="s">
        <v>1089</v>
      </c>
    </row>
    <row r="350" spans="1:15" x14ac:dyDescent="0.25">
      <c r="A350">
        <v>12</v>
      </c>
      <c r="B350" t="s">
        <v>1334</v>
      </c>
      <c r="C350">
        <v>38</v>
      </c>
      <c r="D350">
        <v>12</v>
      </c>
      <c r="E350">
        <v>10</v>
      </c>
      <c r="F350">
        <v>16</v>
      </c>
      <c r="G350">
        <v>41</v>
      </c>
      <c r="H350">
        <v>56</v>
      </c>
      <c r="I350">
        <v>-15</v>
      </c>
      <c r="J350">
        <v>46</v>
      </c>
      <c r="K350">
        <v>1.21</v>
      </c>
      <c r="M350" t="s">
        <v>1163</v>
      </c>
      <c r="N350" t="s">
        <v>1047</v>
      </c>
    </row>
    <row r="351" spans="1:15" x14ac:dyDescent="0.25">
      <c r="A351">
        <v>13</v>
      </c>
      <c r="B351" t="s">
        <v>1332</v>
      </c>
      <c r="C351">
        <v>38</v>
      </c>
      <c r="D351">
        <v>12</v>
      </c>
      <c r="E351">
        <v>9</v>
      </c>
      <c r="F351">
        <v>17</v>
      </c>
      <c r="G351">
        <v>40</v>
      </c>
      <c r="H351">
        <v>53</v>
      </c>
      <c r="I351">
        <v>-13</v>
      </c>
      <c r="J351">
        <v>45</v>
      </c>
      <c r="K351">
        <v>1.18</v>
      </c>
      <c r="M351" t="s">
        <v>1164</v>
      </c>
      <c r="N351" t="s">
        <v>1165</v>
      </c>
    </row>
    <row r="352" spans="1:15" x14ac:dyDescent="0.25">
      <c r="A352">
        <v>14</v>
      </c>
      <c r="B352" t="s">
        <v>1319</v>
      </c>
      <c r="C352">
        <v>38</v>
      </c>
      <c r="D352">
        <v>12</v>
      </c>
      <c r="E352">
        <v>9</v>
      </c>
      <c r="F352">
        <v>17</v>
      </c>
      <c r="G352">
        <v>41</v>
      </c>
      <c r="H352">
        <v>52</v>
      </c>
      <c r="I352">
        <v>-11</v>
      </c>
      <c r="J352">
        <v>45</v>
      </c>
      <c r="K352">
        <v>1.18</v>
      </c>
      <c r="M352" t="s">
        <v>1166</v>
      </c>
      <c r="N352" t="s">
        <v>1114</v>
      </c>
    </row>
    <row r="353" spans="1:15" x14ac:dyDescent="0.25">
      <c r="A353">
        <v>15</v>
      </c>
      <c r="B353" t="s">
        <v>1316</v>
      </c>
      <c r="C353">
        <v>38</v>
      </c>
      <c r="D353">
        <v>14</v>
      </c>
      <c r="E353">
        <v>3</v>
      </c>
      <c r="F353">
        <v>21</v>
      </c>
      <c r="G353">
        <v>49</v>
      </c>
      <c r="H353">
        <v>66</v>
      </c>
      <c r="I353">
        <v>-17</v>
      </c>
      <c r="J353">
        <v>45</v>
      </c>
      <c r="K353">
        <v>1.18</v>
      </c>
      <c r="M353" t="s">
        <v>1167</v>
      </c>
      <c r="N353" t="s">
        <v>779</v>
      </c>
    </row>
    <row r="354" spans="1:15" x14ac:dyDescent="0.25">
      <c r="A354">
        <v>16</v>
      </c>
      <c r="B354" t="s">
        <v>1322</v>
      </c>
      <c r="C354">
        <v>38</v>
      </c>
      <c r="D354">
        <v>12</v>
      </c>
      <c r="E354">
        <v>8</v>
      </c>
      <c r="F354">
        <v>18</v>
      </c>
      <c r="G354">
        <v>49</v>
      </c>
      <c r="H354">
        <v>60</v>
      </c>
      <c r="I354">
        <v>-11</v>
      </c>
      <c r="J354">
        <v>44</v>
      </c>
      <c r="K354">
        <v>1.1599999999999999</v>
      </c>
      <c r="M354" t="s">
        <v>1168</v>
      </c>
      <c r="N354" t="s">
        <v>1169</v>
      </c>
    </row>
    <row r="355" spans="1:15" x14ac:dyDescent="0.25">
      <c r="A355">
        <v>17</v>
      </c>
      <c r="B355" t="s">
        <v>1330</v>
      </c>
      <c r="C355">
        <v>38</v>
      </c>
      <c r="D355">
        <v>12</v>
      </c>
      <c r="E355">
        <v>8</v>
      </c>
      <c r="F355">
        <v>18</v>
      </c>
      <c r="G355">
        <v>41</v>
      </c>
      <c r="H355">
        <v>56</v>
      </c>
      <c r="I355">
        <v>-15</v>
      </c>
      <c r="J355">
        <v>44</v>
      </c>
      <c r="K355">
        <v>1.1599999999999999</v>
      </c>
      <c r="M355" t="s">
        <v>1170</v>
      </c>
      <c r="N355" t="s">
        <v>1121</v>
      </c>
    </row>
    <row r="356" spans="1:15" x14ac:dyDescent="0.25">
      <c r="A356">
        <v>18</v>
      </c>
      <c r="B356" t="s">
        <v>1331</v>
      </c>
      <c r="C356">
        <v>38</v>
      </c>
      <c r="D356">
        <v>10</v>
      </c>
      <c r="E356">
        <v>13</v>
      </c>
      <c r="F356">
        <v>15</v>
      </c>
      <c r="G356">
        <v>31</v>
      </c>
      <c r="H356">
        <v>47</v>
      </c>
      <c r="I356">
        <v>-16</v>
      </c>
      <c r="J356">
        <v>43</v>
      </c>
      <c r="K356">
        <v>1.1299999999999999</v>
      </c>
      <c r="M356" t="s">
        <v>1171</v>
      </c>
      <c r="N356" t="s">
        <v>1123</v>
      </c>
      <c r="O356" t="s">
        <v>617</v>
      </c>
    </row>
    <row r="357" spans="1:15" x14ac:dyDescent="0.25">
      <c r="A357">
        <v>19</v>
      </c>
      <c r="B357" t="s">
        <v>1335</v>
      </c>
      <c r="C357">
        <v>38</v>
      </c>
      <c r="D357">
        <v>9</v>
      </c>
      <c r="E357">
        <v>8</v>
      </c>
      <c r="F357">
        <v>21</v>
      </c>
      <c r="G357">
        <v>36</v>
      </c>
      <c r="H357">
        <v>60</v>
      </c>
      <c r="I357">
        <v>-24</v>
      </c>
      <c r="J357">
        <v>35</v>
      </c>
      <c r="K357">
        <v>0.92</v>
      </c>
      <c r="M357" t="s">
        <v>1172</v>
      </c>
      <c r="N357" t="s">
        <v>1173</v>
      </c>
      <c r="O357" t="s">
        <v>617</v>
      </c>
    </row>
    <row r="358" spans="1:15" x14ac:dyDescent="0.25">
      <c r="A358">
        <v>20</v>
      </c>
      <c r="B358" t="s">
        <v>1326</v>
      </c>
      <c r="C358">
        <v>38</v>
      </c>
      <c r="D358">
        <v>6</v>
      </c>
      <c r="E358">
        <v>12</v>
      </c>
      <c r="F358">
        <v>20</v>
      </c>
      <c r="G358">
        <v>36</v>
      </c>
      <c r="H358">
        <v>70</v>
      </c>
      <c r="I358">
        <v>-34</v>
      </c>
      <c r="J358">
        <v>30</v>
      </c>
      <c r="K358">
        <v>0.79</v>
      </c>
      <c r="M358" t="s">
        <v>1174</v>
      </c>
      <c r="N358" t="s">
        <v>38</v>
      </c>
      <c r="O358" t="s">
        <v>617</v>
      </c>
    </row>
    <row r="360" spans="1:15" x14ac:dyDescent="0.25">
      <c r="A360" t="s">
        <v>1071</v>
      </c>
    </row>
    <row r="362" spans="1:15" x14ac:dyDescent="0.25">
      <c r="A362" t="s">
        <v>641</v>
      </c>
      <c r="B362" t="s">
        <v>15</v>
      </c>
      <c r="C362" t="s">
        <v>17</v>
      </c>
      <c r="D362" t="s">
        <v>18</v>
      </c>
      <c r="E362" t="s">
        <v>4</v>
      </c>
      <c r="F362" t="s">
        <v>19</v>
      </c>
      <c r="G362" t="s">
        <v>20</v>
      </c>
      <c r="H362" t="s">
        <v>21</v>
      </c>
      <c r="I362" t="s">
        <v>22</v>
      </c>
      <c r="J362" t="s">
        <v>23</v>
      </c>
      <c r="K362" t="s">
        <v>578</v>
      </c>
      <c r="L362" t="s">
        <v>24</v>
      </c>
      <c r="M362" t="s">
        <v>25</v>
      </c>
      <c r="N362" t="s">
        <v>26</v>
      </c>
      <c r="O362" t="s">
        <v>27</v>
      </c>
    </row>
    <row r="363" spans="1:15" x14ac:dyDescent="0.25">
      <c r="A363">
        <v>1</v>
      </c>
      <c r="B363" t="s">
        <v>1311</v>
      </c>
      <c r="C363">
        <v>38</v>
      </c>
      <c r="D363">
        <v>31</v>
      </c>
      <c r="E363">
        <v>6</v>
      </c>
      <c r="F363">
        <v>1</v>
      </c>
      <c r="G363">
        <v>98</v>
      </c>
      <c r="H363">
        <v>24</v>
      </c>
      <c r="I363">
        <v>74</v>
      </c>
      <c r="J363">
        <v>99</v>
      </c>
      <c r="K363">
        <v>2.61</v>
      </c>
      <c r="M363" t="s">
        <v>846</v>
      </c>
      <c r="N363" t="s">
        <v>1078</v>
      </c>
      <c r="O363" t="s">
        <v>36</v>
      </c>
    </row>
    <row r="364" spans="1:15" x14ac:dyDescent="0.25">
      <c r="A364">
        <v>2</v>
      </c>
      <c r="B364" t="s">
        <v>1312</v>
      </c>
      <c r="C364">
        <v>38</v>
      </c>
      <c r="D364">
        <v>31</v>
      </c>
      <c r="E364">
        <v>3</v>
      </c>
      <c r="F364">
        <v>4</v>
      </c>
      <c r="G364">
        <v>102</v>
      </c>
      <c r="H364">
        <v>35</v>
      </c>
      <c r="I364">
        <v>67</v>
      </c>
      <c r="J364">
        <v>96</v>
      </c>
      <c r="K364">
        <v>2.5299999999999998</v>
      </c>
      <c r="M364" t="s">
        <v>1175</v>
      </c>
      <c r="N364" t="s">
        <v>1036</v>
      </c>
      <c r="O364" t="s">
        <v>36</v>
      </c>
    </row>
    <row r="365" spans="1:15" x14ac:dyDescent="0.25">
      <c r="A365">
        <v>3</v>
      </c>
      <c r="B365" t="s">
        <v>1317</v>
      </c>
      <c r="C365">
        <v>38</v>
      </c>
      <c r="D365">
        <v>21</v>
      </c>
      <c r="E365">
        <v>8</v>
      </c>
      <c r="F365">
        <v>9</v>
      </c>
      <c r="G365">
        <v>59</v>
      </c>
      <c r="H365">
        <v>40</v>
      </c>
      <c r="I365">
        <v>19</v>
      </c>
      <c r="J365">
        <v>71</v>
      </c>
      <c r="K365">
        <v>1.87</v>
      </c>
      <c r="M365" t="s">
        <v>1176</v>
      </c>
      <c r="N365" t="s">
        <v>1177</v>
      </c>
      <c r="O365" t="s">
        <v>36</v>
      </c>
    </row>
    <row r="366" spans="1:15" x14ac:dyDescent="0.25">
      <c r="A366">
        <v>4</v>
      </c>
      <c r="B366" t="s">
        <v>1314</v>
      </c>
      <c r="C366">
        <v>38</v>
      </c>
      <c r="D366">
        <v>19</v>
      </c>
      <c r="E366">
        <v>6</v>
      </c>
      <c r="F366">
        <v>13</v>
      </c>
      <c r="G366">
        <v>65</v>
      </c>
      <c r="H366">
        <v>49</v>
      </c>
      <c r="I366">
        <v>16</v>
      </c>
      <c r="J366">
        <v>63</v>
      </c>
      <c r="K366">
        <v>1.66</v>
      </c>
      <c r="M366" t="s">
        <v>1178</v>
      </c>
      <c r="N366" t="s">
        <v>1111</v>
      </c>
      <c r="O366" t="s">
        <v>36</v>
      </c>
    </row>
    <row r="367" spans="1:15" x14ac:dyDescent="0.25">
      <c r="A367">
        <v>5</v>
      </c>
      <c r="B367" t="s">
        <v>1330</v>
      </c>
      <c r="C367">
        <v>38</v>
      </c>
      <c r="D367">
        <v>18</v>
      </c>
      <c r="E367">
        <v>8</v>
      </c>
      <c r="F367">
        <v>12</v>
      </c>
      <c r="G367">
        <v>59</v>
      </c>
      <c r="H367">
        <v>44</v>
      </c>
      <c r="I367">
        <v>15</v>
      </c>
      <c r="J367">
        <v>62</v>
      </c>
      <c r="K367">
        <v>1.63</v>
      </c>
      <c r="M367" t="s">
        <v>1179</v>
      </c>
      <c r="N367" t="s">
        <v>1121</v>
      </c>
    </row>
    <row r="368" spans="1:15" x14ac:dyDescent="0.25">
      <c r="A368">
        <v>6</v>
      </c>
      <c r="B368" t="s">
        <v>1322</v>
      </c>
      <c r="C368">
        <v>38</v>
      </c>
      <c r="D368">
        <v>17</v>
      </c>
      <c r="E368">
        <v>7</v>
      </c>
      <c r="F368">
        <v>14</v>
      </c>
      <c r="G368">
        <v>58</v>
      </c>
      <c r="H368">
        <v>48</v>
      </c>
      <c r="I368">
        <v>10</v>
      </c>
      <c r="J368">
        <v>58</v>
      </c>
      <c r="K368">
        <v>1.53</v>
      </c>
      <c r="M368" t="s">
        <v>1180</v>
      </c>
      <c r="N368" t="s">
        <v>1169</v>
      </c>
      <c r="O368" t="s">
        <v>40</v>
      </c>
    </row>
    <row r="369" spans="1:15" x14ac:dyDescent="0.25">
      <c r="A369">
        <v>7</v>
      </c>
      <c r="B369" t="s">
        <v>1315</v>
      </c>
      <c r="C369">
        <v>38</v>
      </c>
      <c r="D369">
        <v>16</v>
      </c>
      <c r="E369">
        <v>8</v>
      </c>
      <c r="F369">
        <v>14</v>
      </c>
      <c r="G369">
        <v>58</v>
      </c>
      <c r="H369">
        <v>57</v>
      </c>
      <c r="I369">
        <v>1</v>
      </c>
      <c r="J369">
        <v>56</v>
      </c>
      <c r="K369">
        <v>1.47</v>
      </c>
      <c r="M369" t="s">
        <v>1181</v>
      </c>
      <c r="N369" t="s">
        <v>762</v>
      </c>
      <c r="O369" t="s">
        <v>780</v>
      </c>
    </row>
    <row r="370" spans="1:15" x14ac:dyDescent="0.25">
      <c r="A370">
        <v>8</v>
      </c>
      <c r="B370" t="s">
        <v>1313</v>
      </c>
      <c r="C370">
        <v>38</v>
      </c>
      <c r="D370">
        <v>15</v>
      </c>
      <c r="E370">
        <v>9</v>
      </c>
      <c r="F370">
        <v>14</v>
      </c>
      <c r="G370">
        <v>50</v>
      </c>
      <c r="H370">
        <v>53</v>
      </c>
      <c r="I370">
        <v>-3</v>
      </c>
      <c r="J370">
        <v>54</v>
      </c>
      <c r="K370">
        <v>1.42</v>
      </c>
      <c r="M370" t="s">
        <v>1182</v>
      </c>
      <c r="N370" t="s">
        <v>906</v>
      </c>
    </row>
    <row r="371" spans="1:15" x14ac:dyDescent="0.25">
      <c r="A371">
        <v>9</v>
      </c>
      <c r="B371" t="s">
        <v>1310</v>
      </c>
      <c r="C371">
        <v>38</v>
      </c>
      <c r="D371">
        <v>13</v>
      </c>
      <c r="E371">
        <v>8</v>
      </c>
      <c r="F371">
        <v>17</v>
      </c>
      <c r="G371">
        <v>57</v>
      </c>
      <c r="H371">
        <v>61</v>
      </c>
      <c r="I371">
        <v>-4</v>
      </c>
      <c r="J371">
        <v>47</v>
      </c>
      <c r="K371">
        <v>1.24</v>
      </c>
      <c r="M371" t="s">
        <v>1183</v>
      </c>
      <c r="N371" t="s">
        <v>1157</v>
      </c>
      <c r="O371" t="s">
        <v>1082</v>
      </c>
    </row>
    <row r="372" spans="1:15" x14ac:dyDescent="0.25">
      <c r="A372">
        <v>10</v>
      </c>
      <c r="B372" t="s">
        <v>1331</v>
      </c>
      <c r="C372">
        <v>38</v>
      </c>
      <c r="D372">
        <v>13</v>
      </c>
      <c r="E372">
        <v>8</v>
      </c>
      <c r="F372">
        <v>17</v>
      </c>
      <c r="G372">
        <v>35</v>
      </c>
      <c r="H372">
        <v>49</v>
      </c>
      <c r="I372">
        <v>-14</v>
      </c>
      <c r="J372">
        <v>47</v>
      </c>
      <c r="K372">
        <v>1.24</v>
      </c>
      <c r="M372" t="s">
        <v>1184</v>
      </c>
      <c r="N372" t="s">
        <v>1123</v>
      </c>
    </row>
    <row r="373" spans="1:15" x14ac:dyDescent="0.25">
      <c r="A373">
        <v>11</v>
      </c>
      <c r="B373" t="s">
        <v>1323</v>
      </c>
      <c r="C373">
        <v>38</v>
      </c>
      <c r="D373">
        <v>11</v>
      </c>
      <c r="E373">
        <v>11</v>
      </c>
      <c r="F373">
        <v>16</v>
      </c>
      <c r="G373">
        <v>29</v>
      </c>
      <c r="H373">
        <v>46</v>
      </c>
      <c r="I373">
        <v>-17</v>
      </c>
      <c r="J373">
        <v>44</v>
      </c>
      <c r="K373">
        <v>1.1599999999999999</v>
      </c>
      <c r="M373" t="s">
        <v>1185</v>
      </c>
      <c r="N373" t="s">
        <v>884</v>
      </c>
    </row>
    <row r="374" spans="1:15" x14ac:dyDescent="0.25">
      <c r="A374">
        <v>12</v>
      </c>
      <c r="B374" t="s">
        <v>1327</v>
      </c>
      <c r="C374">
        <v>38</v>
      </c>
      <c r="D374">
        <v>11</v>
      </c>
      <c r="E374">
        <v>10</v>
      </c>
      <c r="F374">
        <v>17</v>
      </c>
      <c r="G374">
        <v>37</v>
      </c>
      <c r="H374">
        <v>46</v>
      </c>
      <c r="I374">
        <v>-9</v>
      </c>
      <c r="J374">
        <v>43</v>
      </c>
      <c r="K374">
        <v>1.1299999999999999</v>
      </c>
      <c r="M374" t="s">
        <v>1186</v>
      </c>
      <c r="N374" t="s">
        <v>1160</v>
      </c>
    </row>
    <row r="375" spans="1:15" x14ac:dyDescent="0.25">
      <c r="A375">
        <v>13</v>
      </c>
      <c r="B375" t="s">
        <v>1326</v>
      </c>
      <c r="C375">
        <v>38</v>
      </c>
      <c r="D375">
        <v>10</v>
      </c>
      <c r="E375">
        <v>12</v>
      </c>
      <c r="F375">
        <v>16</v>
      </c>
      <c r="G375">
        <v>43</v>
      </c>
      <c r="H375">
        <v>55</v>
      </c>
      <c r="I375">
        <v>-12</v>
      </c>
      <c r="J375">
        <v>42</v>
      </c>
      <c r="K375">
        <v>1.1100000000000001</v>
      </c>
      <c r="M375" t="s">
        <v>1187</v>
      </c>
      <c r="N375" t="s">
        <v>38</v>
      </c>
    </row>
    <row r="376" spans="1:15" x14ac:dyDescent="0.25">
      <c r="A376">
        <v>14</v>
      </c>
      <c r="B376" t="s">
        <v>1332</v>
      </c>
      <c r="C376">
        <v>38</v>
      </c>
      <c r="D376">
        <v>10</v>
      </c>
      <c r="E376">
        <v>11</v>
      </c>
      <c r="F376">
        <v>17</v>
      </c>
      <c r="G376">
        <v>46</v>
      </c>
      <c r="H376">
        <v>64</v>
      </c>
      <c r="I376">
        <v>-18</v>
      </c>
      <c r="J376">
        <v>41</v>
      </c>
      <c r="K376">
        <v>1.08</v>
      </c>
      <c r="M376" t="s">
        <v>1188</v>
      </c>
      <c r="N376" t="s">
        <v>1189</v>
      </c>
    </row>
    <row r="377" spans="1:15" x14ac:dyDescent="0.25">
      <c r="A377">
        <v>15</v>
      </c>
      <c r="B377" t="s">
        <v>1333</v>
      </c>
      <c r="C377">
        <v>38</v>
      </c>
      <c r="D377">
        <v>9</v>
      </c>
      <c r="E377">
        <v>13</v>
      </c>
      <c r="F377">
        <v>16</v>
      </c>
      <c r="G377">
        <v>36</v>
      </c>
      <c r="H377">
        <v>51</v>
      </c>
      <c r="I377">
        <v>-15</v>
      </c>
      <c r="J377">
        <v>40</v>
      </c>
      <c r="K377">
        <v>1.05</v>
      </c>
      <c r="M377" t="s">
        <v>1190</v>
      </c>
      <c r="N377" t="s">
        <v>1148</v>
      </c>
    </row>
    <row r="378" spans="1:15" x14ac:dyDescent="0.25">
      <c r="A378">
        <v>16</v>
      </c>
      <c r="B378" t="s">
        <v>1334</v>
      </c>
      <c r="C378">
        <v>38</v>
      </c>
      <c r="D378">
        <v>9</v>
      </c>
      <c r="E378">
        <v>12</v>
      </c>
      <c r="F378">
        <v>17</v>
      </c>
      <c r="G378">
        <v>42</v>
      </c>
      <c r="H378">
        <v>59</v>
      </c>
      <c r="I378">
        <v>-17</v>
      </c>
      <c r="J378">
        <v>39</v>
      </c>
      <c r="K378">
        <v>1.03</v>
      </c>
      <c r="M378" t="s">
        <v>1191</v>
      </c>
      <c r="N378" t="s">
        <v>1192</v>
      </c>
    </row>
    <row r="379" spans="1:15" x14ac:dyDescent="0.25">
      <c r="A379">
        <v>17</v>
      </c>
      <c r="B379" t="s">
        <v>1320</v>
      </c>
      <c r="C379">
        <v>38</v>
      </c>
      <c r="D379">
        <v>7</v>
      </c>
      <c r="E379">
        <v>16</v>
      </c>
      <c r="F379">
        <v>15</v>
      </c>
      <c r="G379">
        <v>42</v>
      </c>
      <c r="H379">
        <v>48</v>
      </c>
      <c r="I379">
        <v>-6</v>
      </c>
      <c r="J379">
        <v>37</v>
      </c>
      <c r="K379">
        <v>0.97</v>
      </c>
      <c r="M379" t="s">
        <v>1193</v>
      </c>
      <c r="N379" t="s">
        <v>1114</v>
      </c>
    </row>
    <row r="380" spans="1:15" x14ac:dyDescent="0.25">
      <c r="A380">
        <v>18</v>
      </c>
      <c r="B380" t="s">
        <v>1328</v>
      </c>
      <c r="C380">
        <v>38</v>
      </c>
      <c r="D380">
        <v>7</v>
      </c>
      <c r="E380">
        <v>15</v>
      </c>
      <c r="F380">
        <v>16</v>
      </c>
      <c r="G380">
        <v>37</v>
      </c>
      <c r="H380">
        <v>62</v>
      </c>
      <c r="I380">
        <v>-25</v>
      </c>
      <c r="J380">
        <v>36</v>
      </c>
      <c r="K380">
        <v>0.95</v>
      </c>
      <c r="M380" t="s">
        <v>1194</v>
      </c>
      <c r="N380" t="s">
        <v>1195</v>
      </c>
      <c r="O380" t="s">
        <v>617</v>
      </c>
    </row>
    <row r="381" spans="1:15" x14ac:dyDescent="0.25">
      <c r="A381">
        <v>19</v>
      </c>
      <c r="B381" t="s">
        <v>1336</v>
      </c>
      <c r="C381">
        <v>38</v>
      </c>
      <c r="D381">
        <v>9</v>
      </c>
      <c r="E381">
        <v>9</v>
      </c>
      <c r="F381">
        <v>20</v>
      </c>
      <c r="G381">
        <v>40</v>
      </c>
      <c r="H381">
        <v>74</v>
      </c>
      <c r="I381">
        <v>-34</v>
      </c>
      <c r="J381">
        <v>36</v>
      </c>
      <c r="K381">
        <v>0.95</v>
      </c>
      <c r="M381" t="s">
        <v>1196</v>
      </c>
      <c r="N381" t="s">
        <v>1197</v>
      </c>
      <c r="O381" t="s">
        <v>617</v>
      </c>
    </row>
    <row r="382" spans="1:15" x14ac:dyDescent="0.25">
      <c r="A382">
        <v>20</v>
      </c>
      <c r="B382" t="s">
        <v>1337</v>
      </c>
      <c r="C382">
        <v>38</v>
      </c>
      <c r="D382">
        <v>8</v>
      </c>
      <c r="E382">
        <v>10</v>
      </c>
      <c r="F382">
        <v>20</v>
      </c>
      <c r="G382">
        <v>38</v>
      </c>
      <c r="H382">
        <v>66</v>
      </c>
      <c r="I382">
        <v>-28</v>
      </c>
      <c r="J382">
        <v>34</v>
      </c>
      <c r="K382">
        <v>0.89</v>
      </c>
      <c r="M382" t="s">
        <v>1198</v>
      </c>
      <c r="N382" t="s">
        <v>1199</v>
      </c>
      <c r="O382" t="s">
        <v>1200</v>
      </c>
    </row>
    <row r="384" spans="1:15" x14ac:dyDescent="0.25">
      <c r="A384" t="s">
        <v>1072</v>
      </c>
    </row>
    <row r="386" spans="1:15" x14ac:dyDescent="0.25">
      <c r="A386" t="s">
        <v>641</v>
      </c>
      <c r="B386" t="s">
        <v>15</v>
      </c>
      <c r="C386" t="s">
        <v>17</v>
      </c>
      <c r="D386" t="s">
        <v>18</v>
      </c>
      <c r="E386" t="s">
        <v>4</v>
      </c>
      <c r="F386" t="s">
        <v>19</v>
      </c>
      <c r="G386" t="s">
        <v>20</v>
      </c>
      <c r="H386" t="s">
        <v>21</v>
      </c>
      <c r="I386" t="s">
        <v>22</v>
      </c>
      <c r="J386" t="s">
        <v>23</v>
      </c>
      <c r="K386" t="s">
        <v>578</v>
      </c>
      <c r="L386" t="s">
        <v>24</v>
      </c>
      <c r="M386" t="s">
        <v>25</v>
      </c>
      <c r="N386" t="s">
        <v>26</v>
      </c>
      <c r="O386" t="s">
        <v>27</v>
      </c>
    </row>
    <row r="387" spans="1:15" x14ac:dyDescent="0.25">
      <c r="A387">
        <v>1</v>
      </c>
      <c r="B387" t="s">
        <v>1311</v>
      </c>
      <c r="C387">
        <v>38</v>
      </c>
      <c r="D387">
        <v>27</v>
      </c>
      <c r="E387">
        <v>6</v>
      </c>
      <c r="F387">
        <v>5</v>
      </c>
      <c r="G387">
        <v>105</v>
      </c>
      <c r="H387">
        <v>35</v>
      </c>
      <c r="I387">
        <v>70</v>
      </c>
      <c r="J387">
        <v>87</v>
      </c>
      <c r="K387">
        <v>2.29</v>
      </c>
      <c r="M387" t="s">
        <v>1201</v>
      </c>
      <c r="N387" t="s">
        <v>1078</v>
      </c>
      <c r="O387" t="s">
        <v>851</v>
      </c>
    </row>
    <row r="388" spans="1:15" x14ac:dyDescent="0.25">
      <c r="A388">
        <v>2</v>
      </c>
      <c r="B388" t="s">
        <v>1312</v>
      </c>
      <c r="C388">
        <v>38</v>
      </c>
      <c r="D388">
        <v>25</v>
      </c>
      <c r="E388">
        <v>3</v>
      </c>
      <c r="F388">
        <v>10</v>
      </c>
      <c r="G388">
        <v>83</v>
      </c>
      <c r="H388">
        <v>52</v>
      </c>
      <c r="I388">
        <v>31</v>
      </c>
      <c r="J388">
        <v>78</v>
      </c>
      <c r="K388">
        <v>2.0499999999999998</v>
      </c>
      <c r="M388" t="s">
        <v>1202</v>
      </c>
      <c r="N388" t="s">
        <v>1036</v>
      </c>
      <c r="O388" t="s">
        <v>36</v>
      </c>
    </row>
    <row r="389" spans="1:15" x14ac:dyDescent="0.25">
      <c r="A389">
        <v>3</v>
      </c>
      <c r="B389" t="s">
        <v>1314</v>
      </c>
      <c r="C389">
        <v>38</v>
      </c>
      <c r="D389">
        <v>21</v>
      </c>
      <c r="E389">
        <v>7</v>
      </c>
      <c r="F389">
        <v>10</v>
      </c>
      <c r="G389">
        <v>54</v>
      </c>
      <c r="H389">
        <v>39</v>
      </c>
      <c r="I389">
        <v>15</v>
      </c>
      <c r="J389">
        <v>70</v>
      </c>
      <c r="K389">
        <v>1.84</v>
      </c>
      <c r="M389" t="s">
        <v>1203</v>
      </c>
      <c r="N389" t="s">
        <v>1111</v>
      </c>
      <c r="O389" t="s">
        <v>36</v>
      </c>
    </row>
    <row r="390" spans="1:15" x14ac:dyDescent="0.25">
      <c r="A390">
        <v>4</v>
      </c>
      <c r="B390" t="s">
        <v>1310</v>
      </c>
      <c r="C390">
        <v>38</v>
      </c>
      <c r="D390">
        <v>20</v>
      </c>
      <c r="E390">
        <v>7</v>
      </c>
      <c r="F390">
        <v>11</v>
      </c>
      <c r="G390">
        <v>80</v>
      </c>
      <c r="H390">
        <v>57</v>
      </c>
      <c r="I390">
        <v>23</v>
      </c>
      <c r="J390">
        <v>67</v>
      </c>
      <c r="K390">
        <v>1.76</v>
      </c>
      <c r="M390" t="s">
        <v>1204</v>
      </c>
      <c r="N390" t="s">
        <v>1165</v>
      </c>
      <c r="O390" t="s">
        <v>36</v>
      </c>
    </row>
    <row r="391" spans="1:15" x14ac:dyDescent="0.25">
      <c r="A391">
        <v>5</v>
      </c>
      <c r="B391" t="s">
        <v>1315</v>
      </c>
      <c r="C391">
        <v>38</v>
      </c>
      <c r="D391">
        <v>18</v>
      </c>
      <c r="E391">
        <v>11</v>
      </c>
      <c r="F391">
        <v>9</v>
      </c>
      <c r="G391">
        <v>61</v>
      </c>
      <c r="H391">
        <v>54</v>
      </c>
      <c r="I391">
        <v>7</v>
      </c>
      <c r="J391">
        <v>65</v>
      </c>
      <c r="K391">
        <v>1.71</v>
      </c>
      <c r="M391" t="s">
        <v>1205</v>
      </c>
      <c r="N391" t="s">
        <v>762</v>
      </c>
      <c r="O391" t="s">
        <v>40</v>
      </c>
    </row>
    <row r="392" spans="1:15" x14ac:dyDescent="0.25">
      <c r="A392">
        <v>6</v>
      </c>
      <c r="B392" t="s">
        <v>1317</v>
      </c>
      <c r="C392">
        <v>38</v>
      </c>
      <c r="D392">
        <v>18</v>
      </c>
      <c r="E392">
        <v>8</v>
      </c>
      <c r="F392">
        <v>12</v>
      </c>
      <c r="G392">
        <v>68</v>
      </c>
      <c r="H392">
        <v>54</v>
      </c>
      <c r="I392">
        <v>14</v>
      </c>
      <c r="J392">
        <v>62</v>
      </c>
      <c r="K392">
        <v>1.63</v>
      </c>
      <c r="M392" t="s">
        <v>1206</v>
      </c>
      <c r="N392" t="s">
        <v>1199</v>
      </c>
      <c r="O392" t="s">
        <v>780</v>
      </c>
    </row>
    <row r="393" spans="1:15" x14ac:dyDescent="0.25">
      <c r="A393">
        <v>7</v>
      </c>
      <c r="B393" t="s">
        <v>1331</v>
      </c>
      <c r="C393">
        <v>38</v>
      </c>
      <c r="D393">
        <v>16</v>
      </c>
      <c r="E393">
        <v>10</v>
      </c>
      <c r="F393">
        <v>12</v>
      </c>
      <c r="G393">
        <v>48</v>
      </c>
      <c r="H393">
        <v>47</v>
      </c>
      <c r="I393">
        <v>1</v>
      </c>
      <c r="J393">
        <v>58</v>
      </c>
      <c r="K393">
        <v>1.53</v>
      </c>
      <c r="M393" t="s">
        <v>1207</v>
      </c>
      <c r="N393" t="s">
        <v>1123</v>
      </c>
    </row>
    <row r="394" spans="1:15" x14ac:dyDescent="0.25">
      <c r="A394">
        <v>8</v>
      </c>
      <c r="B394" t="s">
        <v>1320</v>
      </c>
      <c r="C394">
        <v>38</v>
      </c>
      <c r="D394">
        <v>15</v>
      </c>
      <c r="E394">
        <v>10</v>
      </c>
      <c r="F394">
        <v>13</v>
      </c>
      <c r="G394">
        <v>55</v>
      </c>
      <c r="H394">
        <v>59</v>
      </c>
      <c r="I394">
        <v>-4</v>
      </c>
      <c r="J394">
        <v>55</v>
      </c>
      <c r="K394">
        <v>1.45</v>
      </c>
      <c r="M394" t="s">
        <v>1208</v>
      </c>
      <c r="N394" t="s">
        <v>1209</v>
      </c>
    </row>
    <row r="395" spans="1:15" x14ac:dyDescent="0.25">
      <c r="A395">
        <v>9</v>
      </c>
      <c r="B395" t="s">
        <v>1330</v>
      </c>
      <c r="C395">
        <v>38</v>
      </c>
      <c r="D395">
        <v>14</v>
      </c>
      <c r="E395">
        <v>9</v>
      </c>
      <c r="F395">
        <v>15</v>
      </c>
      <c r="G395">
        <v>53</v>
      </c>
      <c r="H395">
        <v>60</v>
      </c>
      <c r="I395">
        <v>-7</v>
      </c>
      <c r="J395">
        <v>51</v>
      </c>
      <c r="K395">
        <v>1.34</v>
      </c>
      <c r="M395" t="s">
        <v>1210</v>
      </c>
      <c r="N395" t="s">
        <v>1121</v>
      </c>
    </row>
    <row r="396" spans="1:15" x14ac:dyDescent="0.25">
      <c r="A396">
        <v>10</v>
      </c>
      <c r="B396" t="s">
        <v>1323</v>
      </c>
      <c r="C396">
        <v>38</v>
      </c>
      <c r="D396">
        <v>12</v>
      </c>
      <c r="E396">
        <v>11</v>
      </c>
      <c r="F396">
        <v>15</v>
      </c>
      <c r="G396">
        <v>46</v>
      </c>
      <c r="H396">
        <v>49</v>
      </c>
      <c r="I396">
        <v>-3</v>
      </c>
      <c r="J396">
        <v>47</v>
      </c>
      <c r="K396">
        <v>1.24</v>
      </c>
      <c r="M396" t="s">
        <v>1211</v>
      </c>
      <c r="N396" t="s">
        <v>884</v>
      </c>
    </row>
    <row r="397" spans="1:15" x14ac:dyDescent="0.25">
      <c r="A397">
        <v>11</v>
      </c>
      <c r="B397" t="s">
        <v>1326</v>
      </c>
      <c r="C397">
        <v>38</v>
      </c>
      <c r="D397">
        <v>13</v>
      </c>
      <c r="E397">
        <v>7</v>
      </c>
      <c r="F397">
        <v>18</v>
      </c>
      <c r="G397">
        <v>45</v>
      </c>
      <c r="H397">
        <v>61</v>
      </c>
      <c r="I397">
        <v>-16</v>
      </c>
      <c r="J397">
        <v>46</v>
      </c>
      <c r="K397">
        <v>1.21</v>
      </c>
      <c r="M397" t="s">
        <v>1212</v>
      </c>
      <c r="N397" t="s">
        <v>38</v>
      </c>
    </row>
    <row r="398" spans="1:15" x14ac:dyDescent="0.25">
      <c r="A398">
        <v>12</v>
      </c>
      <c r="B398" t="s">
        <v>1334</v>
      </c>
      <c r="C398">
        <v>38</v>
      </c>
      <c r="D398">
        <v>12</v>
      </c>
      <c r="E398">
        <v>10</v>
      </c>
      <c r="F398">
        <v>16</v>
      </c>
      <c r="G398">
        <v>49</v>
      </c>
      <c r="H398">
        <v>48</v>
      </c>
      <c r="I398">
        <v>1</v>
      </c>
      <c r="J398">
        <v>46</v>
      </c>
      <c r="K398">
        <v>1.21</v>
      </c>
      <c r="M398" t="s">
        <v>1213</v>
      </c>
      <c r="N398" t="s">
        <v>1047</v>
      </c>
    </row>
    <row r="399" spans="1:15" x14ac:dyDescent="0.25">
      <c r="A399">
        <v>13</v>
      </c>
      <c r="B399" t="s">
        <v>1313</v>
      </c>
      <c r="C399">
        <v>38</v>
      </c>
      <c r="D399">
        <v>12</v>
      </c>
      <c r="E399">
        <v>8</v>
      </c>
      <c r="F399">
        <v>18</v>
      </c>
      <c r="G399">
        <v>47</v>
      </c>
      <c r="H399">
        <v>62</v>
      </c>
      <c r="I399">
        <v>-15</v>
      </c>
      <c r="J399">
        <v>44</v>
      </c>
      <c r="K399">
        <v>1.1599999999999999</v>
      </c>
      <c r="M399" t="s">
        <v>1182</v>
      </c>
      <c r="N399" t="s">
        <v>906</v>
      </c>
      <c r="O399" t="s">
        <v>1214</v>
      </c>
    </row>
    <row r="400" spans="1:15" x14ac:dyDescent="0.25">
      <c r="A400">
        <v>14</v>
      </c>
      <c r="B400" t="s">
        <v>1333</v>
      </c>
      <c r="C400">
        <v>38</v>
      </c>
      <c r="D400">
        <v>14</v>
      </c>
      <c r="E400">
        <v>1</v>
      </c>
      <c r="F400">
        <v>23</v>
      </c>
      <c r="G400">
        <v>47</v>
      </c>
      <c r="H400">
        <v>79</v>
      </c>
      <c r="I400">
        <v>-32</v>
      </c>
      <c r="J400">
        <v>43</v>
      </c>
      <c r="K400">
        <v>1.1299999999999999</v>
      </c>
      <c r="M400" t="s">
        <v>1215</v>
      </c>
      <c r="N400" t="s">
        <v>817</v>
      </c>
    </row>
    <row r="401" spans="1:15" x14ac:dyDescent="0.25">
      <c r="A401">
        <v>15</v>
      </c>
      <c r="B401" t="s">
        <v>1327</v>
      </c>
      <c r="C401">
        <v>38</v>
      </c>
      <c r="D401">
        <v>10</v>
      </c>
      <c r="E401">
        <v>13</v>
      </c>
      <c r="F401">
        <v>15</v>
      </c>
      <c r="G401">
        <v>41</v>
      </c>
      <c r="H401">
        <v>47</v>
      </c>
      <c r="I401">
        <v>-6</v>
      </c>
      <c r="J401">
        <v>43</v>
      </c>
      <c r="K401">
        <v>1.1299999999999999</v>
      </c>
      <c r="M401" t="s">
        <v>1186</v>
      </c>
      <c r="N401" t="s">
        <v>1057</v>
      </c>
    </row>
    <row r="402" spans="1:15" x14ac:dyDescent="0.25">
      <c r="A402">
        <v>16</v>
      </c>
      <c r="B402" t="s">
        <v>1328</v>
      </c>
      <c r="C402">
        <v>38</v>
      </c>
      <c r="D402">
        <v>12</v>
      </c>
      <c r="E402">
        <v>7</v>
      </c>
      <c r="F402">
        <v>19</v>
      </c>
      <c r="G402">
        <v>46</v>
      </c>
      <c r="H402">
        <v>58</v>
      </c>
      <c r="I402">
        <v>-12</v>
      </c>
      <c r="J402">
        <v>43</v>
      </c>
      <c r="K402">
        <v>1.1299999999999999</v>
      </c>
      <c r="M402" t="s">
        <v>1216</v>
      </c>
      <c r="N402" t="s">
        <v>782</v>
      </c>
    </row>
    <row r="403" spans="1:15" x14ac:dyDescent="0.25">
      <c r="A403">
        <v>17</v>
      </c>
      <c r="B403" t="s">
        <v>1322</v>
      </c>
      <c r="C403">
        <v>38</v>
      </c>
      <c r="D403">
        <v>10</v>
      </c>
      <c r="E403">
        <v>12</v>
      </c>
      <c r="F403">
        <v>16</v>
      </c>
      <c r="G403">
        <v>50</v>
      </c>
      <c r="H403">
        <v>56</v>
      </c>
      <c r="I403">
        <v>-6</v>
      </c>
      <c r="J403">
        <v>42</v>
      </c>
      <c r="K403">
        <v>1.1100000000000001</v>
      </c>
      <c r="M403" t="s">
        <v>1217</v>
      </c>
      <c r="N403" t="s">
        <v>1218</v>
      </c>
    </row>
    <row r="404" spans="1:15" x14ac:dyDescent="0.25">
      <c r="A404">
        <v>18</v>
      </c>
      <c r="B404" t="s">
        <v>1329</v>
      </c>
      <c r="C404">
        <v>38</v>
      </c>
      <c r="D404">
        <v>10</v>
      </c>
      <c r="E404">
        <v>12</v>
      </c>
      <c r="F404">
        <v>16</v>
      </c>
      <c r="G404">
        <v>51</v>
      </c>
      <c r="H404">
        <v>58</v>
      </c>
      <c r="I404">
        <v>-7</v>
      </c>
      <c r="J404">
        <v>42</v>
      </c>
      <c r="K404">
        <v>1.1100000000000001</v>
      </c>
      <c r="M404" t="s">
        <v>1219</v>
      </c>
      <c r="N404" t="s">
        <v>1160</v>
      </c>
      <c r="O404" t="s">
        <v>617</v>
      </c>
    </row>
    <row r="405" spans="1:15" x14ac:dyDescent="0.25">
      <c r="A405">
        <v>19</v>
      </c>
      <c r="B405" t="s">
        <v>1338</v>
      </c>
      <c r="C405">
        <v>38</v>
      </c>
      <c r="D405">
        <v>10</v>
      </c>
      <c r="E405">
        <v>5</v>
      </c>
      <c r="F405">
        <v>23</v>
      </c>
      <c r="G405">
        <v>38</v>
      </c>
      <c r="H405">
        <v>69</v>
      </c>
      <c r="I405">
        <v>-31</v>
      </c>
      <c r="J405">
        <v>35</v>
      </c>
      <c r="K405">
        <v>0.92</v>
      </c>
      <c r="M405" t="s">
        <v>1220</v>
      </c>
      <c r="N405" t="s">
        <v>1148</v>
      </c>
      <c r="O405" t="s">
        <v>617</v>
      </c>
    </row>
    <row r="406" spans="1:15" x14ac:dyDescent="0.25">
      <c r="A406">
        <v>20</v>
      </c>
      <c r="B406" t="s">
        <v>1339</v>
      </c>
      <c r="C406">
        <v>38</v>
      </c>
      <c r="D406">
        <v>8</v>
      </c>
      <c r="E406">
        <v>9</v>
      </c>
      <c r="F406">
        <v>21</v>
      </c>
      <c r="G406">
        <v>34</v>
      </c>
      <c r="H406">
        <v>57</v>
      </c>
      <c r="I406">
        <v>-23</v>
      </c>
      <c r="J406">
        <v>33</v>
      </c>
      <c r="K406">
        <v>0.87</v>
      </c>
      <c r="M406" t="s">
        <v>1221</v>
      </c>
      <c r="N406" t="s">
        <v>915</v>
      </c>
      <c r="O406" t="s">
        <v>617</v>
      </c>
    </row>
    <row r="408" spans="1:15" x14ac:dyDescent="0.25">
      <c r="A408" t="s">
        <v>1073</v>
      </c>
    </row>
    <row r="410" spans="1:15" x14ac:dyDescent="0.25">
      <c r="A410" t="s">
        <v>641</v>
      </c>
      <c r="B410" t="s">
        <v>15</v>
      </c>
      <c r="C410" t="s">
        <v>17</v>
      </c>
      <c r="D410" t="s">
        <v>18</v>
      </c>
      <c r="E410" t="s">
        <v>4</v>
      </c>
      <c r="F410" t="s">
        <v>19</v>
      </c>
      <c r="G410" t="s">
        <v>20</v>
      </c>
      <c r="H410" t="s">
        <v>21</v>
      </c>
      <c r="I410" t="s">
        <v>22</v>
      </c>
      <c r="J410" t="s">
        <v>23</v>
      </c>
      <c r="K410" t="s">
        <v>578</v>
      </c>
      <c r="L410" t="s">
        <v>24</v>
      </c>
      <c r="M410" t="s">
        <v>25</v>
      </c>
      <c r="N410" t="s">
        <v>26</v>
      </c>
      <c r="O410" t="s">
        <v>27</v>
      </c>
    </row>
    <row r="411" spans="1:15" x14ac:dyDescent="0.25">
      <c r="A411">
        <v>1</v>
      </c>
      <c r="B411" t="s">
        <v>1312</v>
      </c>
      <c r="C411">
        <v>38</v>
      </c>
      <c r="D411">
        <v>27</v>
      </c>
      <c r="E411">
        <v>4</v>
      </c>
      <c r="F411">
        <v>7</v>
      </c>
      <c r="G411">
        <v>84</v>
      </c>
      <c r="H411">
        <v>36</v>
      </c>
      <c r="I411">
        <v>48</v>
      </c>
      <c r="J411">
        <v>85</v>
      </c>
      <c r="K411">
        <v>2.2400000000000002</v>
      </c>
      <c r="M411" t="s">
        <v>1222</v>
      </c>
      <c r="N411" t="s">
        <v>1036</v>
      </c>
      <c r="O411" t="s">
        <v>36</v>
      </c>
    </row>
    <row r="412" spans="1:15" x14ac:dyDescent="0.25">
      <c r="A412">
        <v>2</v>
      </c>
      <c r="B412" t="s">
        <v>1315</v>
      </c>
      <c r="C412">
        <v>38</v>
      </c>
      <c r="D412">
        <v>24</v>
      </c>
      <c r="E412">
        <v>5</v>
      </c>
      <c r="F412">
        <v>9</v>
      </c>
      <c r="G412">
        <v>63</v>
      </c>
      <c r="H412">
        <v>40</v>
      </c>
      <c r="I412">
        <v>23</v>
      </c>
      <c r="J412">
        <v>77</v>
      </c>
      <c r="K412">
        <v>2.0299999999999998</v>
      </c>
      <c r="M412" t="s">
        <v>1223</v>
      </c>
      <c r="N412" t="s">
        <v>762</v>
      </c>
      <c r="O412" t="s">
        <v>36</v>
      </c>
    </row>
    <row r="413" spans="1:15" x14ac:dyDescent="0.25">
      <c r="A413">
        <v>3</v>
      </c>
      <c r="B413" t="s">
        <v>1311</v>
      </c>
      <c r="C413">
        <v>38</v>
      </c>
      <c r="D413">
        <v>19</v>
      </c>
      <c r="E413">
        <v>10</v>
      </c>
      <c r="F413">
        <v>9</v>
      </c>
      <c r="G413">
        <v>76</v>
      </c>
      <c r="H413">
        <v>43</v>
      </c>
      <c r="I413">
        <v>33</v>
      </c>
      <c r="J413">
        <v>67</v>
      </c>
      <c r="K413">
        <v>1.76</v>
      </c>
      <c r="M413" t="s">
        <v>1224</v>
      </c>
      <c r="N413" t="s">
        <v>1078</v>
      </c>
      <c r="O413" t="s">
        <v>36</v>
      </c>
    </row>
    <row r="414" spans="1:15" x14ac:dyDescent="0.25">
      <c r="A414">
        <v>4</v>
      </c>
      <c r="B414" t="s">
        <v>1310</v>
      </c>
      <c r="C414">
        <v>38</v>
      </c>
      <c r="D414">
        <v>19</v>
      </c>
      <c r="E414">
        <v>7</v>
      </c>
      <c r="F414">
        <v>12</v>
      </c>
      <c r="G414">
        <v>66</v>
      </c>
      <c r="H414">
        <v>47</v>
      </c>
      <c r="I414">
        <v>19</v>
      </c>
      <c r="J414">
        <v>64</v>
      </c>
      <c r="K414">
        <v>1.68</v>
      </c>
      <c r="M414" t="s">
        <v>1156</v>
      </c>
      <c r="N414" t="s">
        <v>1225</v>
      </c>
      <c r="O414" t="s">
        <v>36</v>
      </c>
    </row>
    <row r="415" spans="1:15" x14ac:dyDescent="0.25">
      <c r="A415">
        <v>5</v>
      </c>
      <c r="B415" t="s">
        <v>1314</v>
      </c>
      <c r="C415">
        <v>38</v>
      </c>
      <c r="D415">
        <v>20</v>
      </c>
      <c r="E415">
        <v>4</v>
      </c>
      <c r="F415">
        <v>14</v>
      </c>
      <c r="G415">
        <v>75</v>
      </c>
      <c r="H415">
        <v>49</v>
      </c>
      <c r="I415">
        <v>26</v>
      </c>
      <c r="J415">
        <v>64</v>
      </c>
      <c r="K415">
        <v>1.68</v>
      </c>
      <c r="M415" t="s">
        <v>1226</v>
      </c>
      <c r="N415" t="s">
        <v>1111</v>
      </c>
      <c r="O415" t="s">
        <v>1227</v>
      </c>
    </row>
    <row r="416" spans="1:15" x14ac:dyDescent="0.25">
      <c r="A416">
        <v>6</v>
      </c>
      <c r="B416" t="s">
        <v>1334</v>
      </c>
      <c r="C416">
        <v>38</v>
      </c>
      <c r="D416">
        <v>17</v>
      </c>
      <c r="E416">
        <v>9</v>
      </c>
      <c r="F416">
        <v>12</v>
      </c>
      <c r="G416">
        <v>42</v>
      </c>
      <c r="H416">
        <v>41</v>
      </c>
      <c r="I416">
        <v>1</v>
      </c>
      <c r="J416">
        <v>60</v>
      </c>
      <c r="K416">
        <v>1.58</v>
      </c>
      <c r="M416" t="s">
        <v>1228</v>
      </c>
      <c r="N416" t="s">
        <v>1047</v>
      </c>
      <c r="O416" t="s">
        <v>1227</v>
      </c>
    </row>
    <row r="417" spans="1:15" x14ac:dyDescent="0.25">
      <c r="A417">
        <v>7</v>
      </c>
      <c r="B417" t="s">
        <v>1330</v>
      </c>
      <c r="C417">
        <v>38</v>
      </c>
      <c r="D417">
        <v>15</v>
      </c>
      <c r="E417">
        <v>14</v>
      </c>
      <c r="F417">
        <v>9</v>
      </c>
      <c r="G417">
        <v>69</v>
      </c>
      <c r="H417">
        <v>54</v>
      </c>
      <c r="I417">
        <v>15</v>
      </c>
      <c r="J417">
        <v>59</v>
      </c>
      <c r="K417">
        <v>1.55</v>
      </c>
      <c r="M417" t="s">
        <v>1229</v>
      </c>
      <c r="N417" t="s">
        <v>1037</v>
      </c>
    </row>
    <row r="418" spans="1:15" x14ac:dyDescent="0.25">
      <c r="A418">
        <v>8</v>
      </c>
      <c r="B418" t="s">
        <v>1326</v>
      </c>
      <c r="C418">
        <v>38</v>
      </c>
      <c r="D418">
        <v>14</v>
      </c>
      <c r="E418">
        <v>10</v>
      </c>
      <c r="F418">
        <v>14</v>
      </c>
      <c r="G418">
        <v>42</v>
      </c>
      <c r="H418">
        <v>45</v>
      </c>
      <c r="I418">
        <v>-3</v>
      </c>
      <c r="J418">
        <v>52</v>
      </c>
      <c r="K418">
        <v>1.37</v>
      </c>
      <c r="M418" t="s">
        <v>1230</v>
      </c>
      <c r="N418" t="s">
        <v>38</v>
      </c>
    </row>
    <row r="419" spans="1:15" x14ac:dyDescent="0.25">
      <c r="A419">
        <v>9</v>
      </c>
      <c r="B419" t="s">
        <v>1331</v>
      </c>
      <c r="C419">
        <v>38</v>
      </c>
      <c r="D419">
        <v>15</v>
      </c>
      <c r="E419">
        <v>7</v>
      </c>
      <c r="F419">
        <v>16</v>
      </c>
      <c r="G419">
        <v>46</v>
      </c>
      <c r="H419">
        <v>47</v>
      </c>
      <c r="I419">
        <v>-1</v>
      </c>
      <c r="J419">
        <v>52</v>
      </c>
      <c r="K419">
        <v>1.37</v>
      </c>
      <c r="M419" t="s">
        <v>1231</v>
      </c>
      <c r="N419" t="s">
        <v>1121</v>
      </c>
      <c r="O419" t="s">
        <v>1232</v>
      </c>
    </row>
    <row r="420" spans="1:15" x14ac:dyDescent="0.25">
      <c r="A420">
        <v>10</v>
      </c>
      <c r="B420" t="s">
        <v>1317</v>
      </c>
      <c r="C420">
        <v>38</v>
      </c>
      <c r="D420">
        <v>15</v>
      </c>
      <c r="E420">
        <v>6</v>
      </c>
      <c r="F420">
        <v>17</v>
      </c>
      <c r="G420">
        <v>48</v>
      </c>
      <c r="H420">
        <v>62</v>
      </c>
      <c r="I420">
        <v>-14</v>
      </c>
      <c r="J420">
        <v>51</v>
      </c>
      <c r="K420">
        <v>1.34</v>
      </c>
      <c r="M420" t="s">
        <v>1233</v>
      </c>
      <c r="N420" t="s">
        <v>1234</v>
      </c>
      <c r="O420" t="s">
        <v>1235</v>
      </c>
    </row>
    <row r="421" spans="1:15" x14ac:dyDescent="0.25">
      <c r="A421">
        <v>11</v>
      </c>
      <c r="B421" t="s">
        <v>1313</v>
      </c>
      <c r="C421">
        <v>38</v>
      </c>
      <c r="D421">
        <v>13</v>
      </c>
      <c r="E421">
        <v>11</v>
      </c>
      <c r="F421">
        <v>14</v>
      </c>
      <c r="G421">
        <v>40</v>
      </c>
      <c r="H421">
        <v>43</v>
      </c>
      <c r="I421">
        <v>-3</v>
      </c>
      <c r="J421">
        <v>50</v>
      </c>
      <c r="K421">
        <v>1.32</v>
      </c>
      <c r="M421" t="s">
        <v>1236</v>
      </c>
      <c r="N421" t="s">
        <v>1237</v>
      </c>
    </row>
    <row r="422" spans="1:15" x14ac:dyDescent="0.25">
      <c r="A422">
        <v>12</v>
      </c>
      <c r="B422" t="s">
        <v>1323</v>
      </c>
      <c r="C422">
        <v>38</v>
      </c>
      <c r="D422">
        <v>13</v>
      </c>
      <c r="E422">
        <v>9</v>
      </c>
      <c r="F422">
        <v>16</v>
      </c>
      <c r="G422">
        <v>43</v>
      </c>
      <c r="H422">
        <v>53</v>
      </c>
      <c r="I422">
        <v>-10</v>
      </c>
      <c r="J422">
        <v>48</v>
      </c>
      <c r="K422">
        <v>1.26</v>
      </c>
      <c r="M422" t="s">
        <v>1238</v>
      </c>
      <c r="N422" t="s">
        <v>884</v>
      </c>
    </row>
    <row r="423" spans="1:15" x14ac:dyDescent="0.25">
      <c r="A423">
        <v>13</v>
      </c>
      <c r="B423" t="s">
        <v>1329</v>
      </c>
      <c r="C423">
        <v>38</v>
      </c>
      <c r="D423">
        <v>12</v>
      </c>
      <c r="E423">
        <v>11</v>
      </c>
      <c r="F423">
        <v>15</v>
      </c>
      <c r="G423">
        <v>45</v>
      </c>
      <c r="H423">
        <v>51</v>
      </c>
      <c r="I423">
        <v>-6</v>
      </c>
      <c r="J423">
        <v>47</v>
      </c>
      <c r="K423">
        <v>1.24</v>
      </c>
      <c r="M423" t="s">
        <v>1239</v>
      </c>
      <c r="N423" t="s">
        <v>1160</v>
      </c>
    </row>
    <row r="424" spans="1:15" x14ac:dyDescent="0.25">
      <c r="A424">
        <v>14</v>
      </c>
      <c r="B424" t="s">
        <v>1322</v>
      </c>
      <c r="C424">
        <v>38</v>
      </c>
      <c r="D424">
        <v>12</v>
      </c>
      <c r="E424">
        <v>11</v>
      </c>
      <c r="F424">
        <v>15</v>
      </c>
      <c r="G424">
        <v>44</v>
      </c>
      <c r="H424">
        <v>48</v>
      </c>
      <c r="I424">
        <v>-4</v>
      </c>
      <c r="J424">
        <v>47</v>
      </c>
      <c r="K424">
        <v>1.24</v>
      </c>
      <c r="M424" t="s">
        <v>1240</v>
      </c>
      <c r="N424" t="s">
        <v>1241</v>
      </c>
    </row>
    <row r="425" spans="1:15" x14ac:dyDescent="0.25">
      <c r="A425">
        <v>15</v>
      </c>
      <c r="B425" t="s">
        <v>1328</v>
      </c>
      <c r="C425">
        <v>38</v>
      </c>
      <c r="D425">
        <v>11</v>
      </c>
      <c r="E425">
        <v>12</v>
      </c>
      <c r="F425">
        <v>15</v>
      </c>
      <c r="G425">
        <v>42</v>
      </c>
      <c r="H425">
        <v>57</v>
      </c>
      <c r="I425">
        <v>-15</v>
      </c>
      <c r="J425">
        <v>45</v>
      </c>
      <c r="K425">
        <v>1.18</v>
      </c>
      <c r="M425" t="s">
        <v>1242</v>
      </c>
      <c r="N425" t="s">
        <v>782</v>
      </c>
    </row>
    <row r="426" spans="1:15" x14ac:dyDescent="0.25">
      <c r="A426">
        <v>16</v>
      </c>
      <c r="B426" t="s">
        <v>1339</v>
      </c>
      <c r="C426">
        <v>38</v>
      </c>
      <c r="D426">
        <v>11</v>
      </c>
      <c r="E426">
        <v>11</v>
      </c>
      <c r="F426">
        <v>16</v>
      </c>
      <c r="G426">
        <v>40</v>
      </c>
      <c r="H426">
        <v>60</v>
      </c>
      <c r="I426">
        <v>-20</v>
      </c>
      <c r="J426">
        <v>44</v>
      </c>
      <c r="K426">
        <v>1.1599999999999999</v>
      </c>
      <c r="M426" t="s">
        <v>1243</v>
      </c>
      <c r="N426" t="s">
        <v>1244</v>
      </c>
    </row>
    <row r="427" spans="1:15" x14ac:dyDescent="0.25">
      <c r="A427">
        <v>17</v>
      </c>
      <c r="B427" t="s">
        <v>1327</v>
      </c>
      <c r="C427">
        <v>38</v>
      </c>
      <c r="D427">
        <v>12</v>
      </c>
      <c r="E427">
        <v>7</v>
      </c>
      <c r="F427">
        <v>19</v>
      </c>
      <c r="G427">
        <v>37</v>
      </c>
      <c r="H427">
        <v>44</v>
      </c>
      <c r="I427">
        <v>-7</v>
      </c>
      <c r="J427">
        <v>43</v>
      </c>
      <c r="K427">
        <v>1.1299999999999999</v>
      </c>
      <c r="M427" t="s">
        <v>1245</v>
      </c>
      <c r="N427" t="s">
        <v>1160</v>
      </c>
    </row>
    <row r="428" spans="1:15" x14ac:dyDescent="0.25">
      <c r="A428">
        <v>18</v>
      </c>
      <c r="B428" t="s">
        <v>1332</v>
      </c>
      <c r="C428">
        <v>38</v>
      </c>
      <c r="D428">
        <v>10</v>
      </c>
      <c r="E428">
        <v>12</v>
      </c>
      <c r="F428">
        <v>16</v>
      </c>
      <c r="G428">
        <v>50</v>
      </c>
      <c r="H428">
        <v>61</v>
      </c>
      <c r="I428">
        <v>-11</v>
      </c>
      <c r="J428">
        <v>42</v>
      </c>
      <c r="K428">
        <v>1.1100000000000001</v>
      </c>
      <c r="M428" t="s">
        <v>1246</v>
      </c>
      <c r="N428" t="s">
        <v>1177</v>
      </c>
      <c r="O428" t="s">
        <v>617</v>
      </c>
    </row>
    <row r="429" spans="1:15" x14ac:dyDescent="0.25">
      <c r="A429">
        <v>19</v>
      </c>
      <c r="B429" t="s">
        <v>1340</v>
      </c>
      <c r="C429">
        <v>38</v>
      </c>
      <c r="D429">
        <v>7</v>
      </c>
      <c r="E429">
        <v>9</v>
      </c>
      <c r="F429">
        <v>22</v>
      </c>
      <c r="G429">
        <v>36</v>
      </c>
      <c r="H429">
        <v>65</v>
      </c>
      <c r="I429">
        <v>-29</v>
      </c>
      <c r="J429">
        <v>30</v>
      </c>
      <c r="K429">
        <v>0.79</v>
      </c>
      <c r="M429" t="s">
        <v>1247</v>
      </c>
      <c r="N429" t="s">
        <v>1248</v>
      </c>
      <c r="O429" t="s">
        <v>617</v>
      </c>
    </row>
    <row r="430" spans="1:15" x14ac:dyDescent="0.25">
      <c r="A430">
        <v>20</v>
      </c>
      <c r="B430" t="s">
        <v>1319</v>
      </c>
      <c r="C430">
        <v>38</v>
      </c>
      <c r="D430">
        <v>7</v>
      </c>
      <c r="E430">
        <v>5</v>
      </c>
      <c r="F430">
        <v>26</v>
      </c>
      <c r="G430">
        <v>33</v>
      </c>
      <c r="H430">
        <v>75</v>
      </c>
      <c r="I430">
        <v>-42</v>
      </c>
      <c r="J430">
        <v>26</v>
      </c>
      <c r="K430">
        <v>0.68</v>
      </c>
      <c r="M430" t="s">
        <v>1249</v>
      </c>
      <c r="N430" t="s">
        <v>1250</v>
      </c>
      <c r="O430" t="s">
        <v>617</v>
      </c>
    </row>
    <row r="432" spans="1:15" x14ac:dyDescent="0.25">
      <c r="A432" t="s">
        <v>1074</v>
      </c>
    </row>
    <row r="434" spans="1:15" x14ac:dyDescent="0.25">
      <c r="A434" t="s">
        <v>641</v>
      </c>
      <c r="B434" t="s">
        <v>15</v>
      </c>
      <c r="C434" t="s">
        <v>17</v>
      </c>
      <c r="D434" t="s">
        <v>18</v>
      </c>
      <c r="E434" t="s">
        <v>4</v>
      </c>
      <c r="F434" t="s">
        <v>19</v>
      </c>
      <c r="G434" t="s">
        <v>20</v>
      </c>
      <c r="H434" t="s">
        <v>21</v>
      </c>
      <c r="I434" t="s">
        <v>22</v>
      </c>
      <c r="J434" t="s">
        <v>23</v>
      </c>
      <c r="K434" t="s">
        <v>578</v>
      </c>
      <c r="L434" t="s">
        <v>24</v>
      </c>
      <c r="M434" t="s">
        <v>25</v>
      </c>
      <c r="N434" t="s">
        <v>26</v>
      </c>
      <c r="O434" t="s">
        <v>27</v>
      </c>
    </row>
    <row r="435" spans="1:15" x14ac:dyDescent="0.25">
      <c r="A435">
        <v>1</v>
      </c>
      <c r="B435" t="s">
        <v>1312</v>
      </c>
      <c r="C435">
        <v>38</v>
      </c>
      <c r="D435">
        <v>23</v>
      </c>
      <c r="E435">
        <v>7</v>
      </c>
      <c r="F435">
        <v>8</v>
      </c>
      <c r="G435">
        <v>66</v>
      </c>
      <c r="H435">
        <v>40</v>
      </c>
      <c r="I435">
        <v>26</v>
      </c>
      <c r="J435">
        <v>76</v>
      </c>
      <c r="K435">
        <v>2</v>
      </c>
      <c r="M435" t="s">
        <v>1251</v>
      </c>
      <c r="N435" t="s">
        <v>1036</v>
      </c>
      <c r="O435" t="s">
        <v>36</v>
      </c>
    </row>
    <row r="436" spans="1:15" x14ac:dyDescent="0.25">
      <c r="A436">
        <v>2</v>
      </c>
      <c r="B436" t="s">
        <v>1311</v>
      </c>
      <c r="C436">
        <v>38</v>
      </c>
      <c r="D436">
        <v>22</v>
      </c>
      <c r="E436">
        <v>10</v>
      </c>
      <c r="F436">
        <v>6</v>
      </c>
      <c r="G436">
        <v>78</v>
      </c>
      <c r="H436">
        <v>33</v>
      </c>
      <c r="I436">
        <v>45</v>
      </c>
      <c r="J436">
        <v>76</v>
      </c>
      <c r="K436">
        <v>2</v>
      </c>
      <c r="M436" t="s">
        <v>1252</v>
      </c>
      <c r="N436" t="s">
        <v>1078</v>
      </c>
      <c r="O436" t="s">
        <v>36</v>
      </c>
    </row>
    <row r="437" spans="1:15" x14ac:dyDescent="0.25">
      <c r="A437">
        <v>3</v>
      </c>
      <c r="B437" t="s">
        <v>1314</v>
      </c>
      <c r="C437">
        <v>38</v>
      </c>
      <c r="D437">
        <v>21</v>
      </c>
      <c r="E437">
        <v>8</v>
      </c>
      <c r="F437">
        <v>9</v>
      </c>
      <c r="G437">
        <v>64</v>
      </c>
      <c r="H437">
        <v>35</v>
      </c>
      <c r="I437">
        <v>29</v>
      </c>
      <c r="J437">
        <v>71</v>
      </c>
      <c r="K437">
        <v>1.87</v>
      </c>
      <c r="M437" t="s">
        <v>1253</v>
      </c>
      <c r="N437" t="s">
        <v>1111</v>
      </c>
      <c r="O437" t="s">
        <v>36</v>
      </c>
    </row>
    <row r="438" spans="1:15" x14ac:dyDescent="0.25">
      <c r="A438">
        <v>4</v>
      </c>
      <c r="B438" t="s">
        <v>1317</v>
      </c>
      <c r="C438">
        <v>38</v>
      </c>
      <c r="D438">
        <v>20</v>
      </c>
      <c r="E438">
        <v>6</v>
      </c>
      <c r="F438">
        <v>12</v>
      </c>
      <c r="G438">
        <v>57</v>
      </c>
      <c r="H438">
        <v>42</v>
      </c>
      <c r="I438">
        <v>15</v>
      </c>
      <c r="J438">
        <v>66</v>
      </c>
      <c r="K438">
        <v>1.74</v>
      </c>
      <c r="M438" t="s">
        <v>1254</v>
      </c>
      <c r="N438" t="s">
        <v>1255</v>
      </c>
      <c r="O438" t="s">
        <v>36</v>
      </c>
    </row>
    <row r="439" spans="1:15" x14ac:dyDescent="0.25">
      <c r="A439">
        <v>5</v>
      </c>
      <c r="B439" t="s">
        <v>1315</v>
      </c>
      <c r="C439">
        <v>38</v>
      </c>
      <c r="D439">
        <v>18</v>
      </c>
      <c r="E439">
        <v>8</v>
      </c>
      <c r="F439">
        <v>12</v>
      </c>
      <c r="G439">
        <v>48</v>
      </c>
      <c r="H439">
        <v>44</v>
      </c>
      <c r="I439">
        <v>4</v>
      </c>
      <c r="J439">
        <v>62</v>
      </c>
      <c r="K439">
        <v>1.63</v>
      </c>
      <c r="M439" t="s">
        <v>1256</v>
      </c>
      <c r="N439" t="s">
        <v>1257</v>
      </c>
      <c r="O439" t="s">
        <v>1227</v>
      </c>
    </row>
    <row r="440" spans="1:15" x14ac:dyDescent="0.25">
      <c r="A440">
        <v>6</v>
      </c>
      <c r="B440" t="s">
        <v>1332</v>
      </c>
      <c r="C440">
        <v>38</v>
      </c>
      <c r="D440">
        <v>16</v>
      </c>
      <c r="E440">
        <v>12</v>
      </c>
      <c r="F440">
        <v>10</v>
      </c>
      <c r="G440">
        <v>55</v>
      </c>
      <c r="H440">
        <v>43</v>
      </c>
      <c r="I440">
        <v>12</v>
      </c>
      <c r="J440">
        <v>60</v>
      </c>
      <c r="K440">
        <v>1.58</v>
      </c>
      <c r="M440" t="s">
        <v>1258</v>
      </c>
      <c r="N440" t="s">
        <v>1177</v>
      </c>
      <c r="O440" t="s">
        <v>1227</v>
      </c>
    </row>
    <row r="441" spans="1:15" x14ac:dyDescent="0.25">
      <c r="A441">
        <v>7</v>
      </c>
      <c r="B441" t="s">
        <v>1310</v>
      </c>
      <c r="C441">
        <v>38</v>
      </c>
      <c r="D441">
        <v>17</v>
      </c>
      <c r="E441">
        <v>9</v>
      </c>
      <c r="F441">
        <v>12</v>
      </c>
      <c r="G441">
        <v>46</v>
      </c>
      <c r="H441">
        <v>39</v>
      </c>
      <c r="I441">
        <v>7</v>
      </c>
      <c r="J441">
        <v>60</v>
      </c>
      <c r="K441">
        <v>1.58</v>
      </c>
      <c r="M441" t="s">
        <v>1259</v>
      </c>
      <c r="N441" t="s">
        <v>1165</v>
      </c>
      <c r="O441" t="s">
        <v>1232</v>
      </c>
    </row>
    <row r="442" spans="1:15" x14ac:dyDescent="0.25">
      <c r="A442">
        <v>8</v>
      </c>
      <c r="B442" t="s">
        <v>1339</v>
      </c>
      <c r="C442">
        <v>38</v>
      </c>
      <c r="D442">
        <v>15</v>
      </c>
      <c r="E442">
        <v>9</v>
      </c>
      <c r="F442">
        <v>14</v>
      </c>
      <c r="G442">
        <v>54</v>
      </c>
      <c r="H442">
        <v>52</v>
      </c>
      <c r="I442">
        <v>2</v>
      </c>
      <c r="J442">
        <v>54</v>
      </c>
      <c r="K442">
        <v>1.42</v>
      </c>
      <c r="M442" t="s">
        <v>1260</v>
      </c>
      <c r="N442" t="s">
        <v>1261</v>
      </c>
    </row>
    <row r="443" spans="1:15" x14ac:dyDescent="0.25">
      <c r="A443">
        <v>9</v>
      </c>
      <c r="B443" t="s">
        <v>1322</v>
      </c>
      <c r="C443">
        <v>38</v>
      </c>
      <c r="D443">
        <v>14</v>
      </c>
      <c r="E443">
        <v>10</v>
      </c>
      <c r="F443">
        <v>14</v>
      </c>
      <c r="G443">
        <v>39</v>
      </c>
      <c r="H443">
        <v>33</v>
      </c>
      <c r="I443">
        <v>6</v>
      </c>
      <c r="J443">
        <v>52</v>
      </c>
      <c r="K443">
        <v>1.37</v>
      </c>
      <c r="M443" t="s">
        <v>1262</v>
      </c>
      <c r="N443" t="s">
        <v>1241</v>
      </c>
      <c r="O443" t="s">
        <v>1263</v>
      </c>
    </row>
    <row r="444" spans="1:15" x14ac:dyDescent="0.25">
      <c r="A444">
        <v>10</v>
      </c>
      <c r="B444" t="s">
        <v>1334</v>
      </c>
      <c r="C444">
        <v>38</v>
      </c>
      <c r="D444">
        <v>12</v>
      </c>
      <c r="E444">
        <v>14</v>
      </c>
      <c r="F444">
        <v>12</v>
      </c>
      <c r="G444">
        <v>42</v>
      </c>
      <c r="H444">
        <v>48</v>
      </c>
      <c r="I444">
        <v>-6</v>
      </c>
      <c r="J444">
        <v>50</v>
      </c>
      <c r="K444">
        <v>1.32</v>
      </c>
      <c r="M444" t="s">
        <v>1264</v>
      </c>
      <c r="N444" t="s">
        <v>1047</v>
      </c>
    </row>
    <row r="445" spans="1:15" x14ac:dyDescent="0.25">
      <c r="A445">
        <v>11</v>
      </c>
      <c r="B445" t="s">
        <v>1323</v>
      </c>
      <c r="C445">
        <v>38</v>
      </c>
      <c r="D445">
        <v>12</v>
      </c>
      <c r="E445">
        <v>13</v>
      </c>
      <c r="F445">
        <v>13</v>
      </c>
      <c r="G445">
        <v>46</v>
      </c>
      <c r="H445">
        <v>53</v>
      </c>
      <c r="I445">
        <v>-7</v>
      </c>
      <c r="J445">
        <v>49</v>
      </c>
      <c r="K445">
        <v>1.29</v>
      </c>
      <c r="M445" t="s">
        <v>1265</v>
      </c>
      <c r="N445" t="s">
        <v>884</v>
      </c>
    </row>
    <row r="446" spans="1:15" x14ac:dyDescent="0.25">
      <c r="A446">
        <v>12</v>
      </c>
      <c r="B446" t="s">
        <v>1330</v>
      </c>
      <c r="C446">
        <v>38</v>
      </c>
      <c r="D446">
        <v>14</v>
      </c>
      <c r="E446">
        <v>7</v>
      </c>
      <c r="F446">
        <v>17</v>
      </c>
      <c r="G446">
        <v>41</v>
      </c>
      <c r="H446">
        <v>47</v>
      </c>
      <c r="I446">
        <v>-6</v>
      </c>
      <c r="J446">
        <v>49</v>
      </c>
      <c r="K446">
        <v>1.29</v>
      </c>
      <c r="M446" t="s">
        <v>1266</v>
      </c>
      <c r="N446" t="s">
        <v>1267</v>
      </c>
    </row>
    <row r="447" spans="1:15" x14ac:dyDescent="0.25">
      <c r="A447">
        <v>13</v>
      </c>
      <c r="B447" t="s">
        <v>1331</v>
      </c>
      <c r="C447">
        <v>38</v>
      </c>
      <c r="D447">
        <v>12</v>
      </c>
      <c r="E447">
        <v>11</v>
      </c>
      <c r="F447">
        <v>15</v>
      </c>
      <c r="G447">
        <v>32</v>
      </c>
      <c r="H447">
        <v>45</v>
      </c>
      <c r="I447">
        <v>-13</v>
      </c>
      <c r="J447">
        <v>47</v>
      </c>
      <c r="K447">
        <v>1.24</v>
      </c>
      <c r="M447" t="s">
        <v>1268</v>
      </c>
      <c r="N447" t="s">
        <v>1121</v>
      </c>
    </row>
    <row r="448" spans="1:15" x14ac:dyDescent="0.25">
      <c r="A448">
        <v>14</v>
      </c>
      <c r="B448" t="s">
        <v>1327</v>
      </c>
      <c r="C448">
        <v>38</v>
      </c>
      <c r="D448">
        <v>13</v>
      </c>
      <c r="E448">
        <v>7</v>
      </c>
      <c r="F448">
        <v>18</v>
      </c>
      <c r="G448">
        <v>51</v>
      </c>
      <c r="H448">
        <v>49</v>
      </c>
      <c r="I448">
        <v>2</v>
      </c>
      <c r="J448">
        <v>46</v>
      </c>
      <c r="K448">
        <v>1.21</v>
      </c>
      <c r="M448" t="s">
        <v>1269</v>
      </c>
      <c r="N448" t="s">
        <v>1160</v>
      </c>
    </row>
    <row r="449" spans="1:15" x14ac:dyDescent="0.25">
      <c r="A449">
        <v>15</v>
      </c>
      <c r="B449" t="s">
        <v>1319</v>
      </c>
      <c r="C449">
        <v>38</v>
      </c>
      <c r="D449">
        <v>10</v>
      </c>
      <c r="E449">
        <v>12</v>
      </c>
      <c r="F449">
        <v>16</v>
      </c>
      <c r="G449">
        <v>37</v>
      </c>
      <c r="H449">
        <v>53</v>
      </c>
      <c r="I449">
        <v>-16</v>
      </c>
      <c r="J449">
        <v>42</v>
      </c>
      <c r="K449">
        <v>1.1100000000000001</v>
      </c>
      <c r="M449" t="s">
        <v>1270</v>
      </c>
      <c r="N449" t="s">
        <v>1271</v>
      </c>
    </row>
    <row r="450" spans="1:15" x14ac:dyDescent="0.25">
      <c r="A450">
        <v>16</v>
      </c>
      <c r="B450" t="s">
        <v>1329</v>
      </c>
      <c r="C450">
        <v>38</v>
      </c>
      <c r="D450">
        <v>8</v>
      </c>
      <c r="E450">
        <v>16</v>
      </c>
      <c r="F450">
        <v>14</v>
      </c>
      <c r="G450">
        <v>36</v>
      </c>
      <c r="H450">
        <v>49</v>
      </c>
      <c r="I450">
        <v>-13</v>
      </c>
      <c r="J450">
        <v>40</v>
      </c>
      <c r="K450">
        <v>1.05</v>
      </c>
      <c r="M450" t="s">
        <v>1272</v>
      </c>
      <c r="N450" t="s">
        <v>1273</v>
      </c>
    </row>
    <row r="451" spans="1:15" x14ac:dyDescent="0.25">
      <c r="A451">
        <v>17</v>
      </c>
      <c r="B451" t="s">
        <v>1313</v>
      </c>
      <c r="C451">
        <v>38</v>
      </c>
      <c r="D451">
        <v>10</v>
      </c>
      <c r="E451">
        <v>10</v>
      </c>
      <c r="F451">
        <v>18</v>
      </c>
      <c r="G451">
        <v>44</v>
      </c>
      <c r="H451">
        <v>62</v>
      </c>
      <c r="I451">
        <v>-18</v>
      </c>
      <c r="J451">
        <v>40</v>
      </c>
      <c r="K451">
        <v>1.05</v>
      </c>
      <c r="M451" t="s">
        <v>1274</v>
      </c>
      <c r="N451" t="s">
        <v>1123</v>
      </c>
    </row>
    <row r="452" spans="1:15" x14ac:dyDescent="0.25">
      <c r="A452">
        <v>18</v>
      </c>
      <c r="B452" t="s">
        <v>1318</v>
      </c>
      <c r="C452">
        <v>38</v>
      </c>
      <c r="D452">
        <v>10</v>
      </c>
      <c r="E452">
        <v>9</v>
      </c>
      <c r="F452">
        <v>19</v>
      </c>
      <c r="G452">
        <v>40</v>
      </c>
      <c r="H452">
        <v>59</v>
      </c>
      <c r="I452">
        <v>-19</v>
      </c>
      <c r="J452">
        <v>39</v>
      </c>
      <c r="K452">
        <v>1.03</v>
      </c>
      <c r="M452" t="s">
        <v>1275</v>
      </c>
      <c r="N452" t="s">
        <v>1276</v>
      </c>
      <c r="O452" t="s">
        <v>617</v>
      </c>
    </row>
    <row r="453" spans="1:15" x14ac:dyDescent="0.25">
      <c r="A453">
        <v>19</v>
      </c>
      <c r="B453" t="s">
        <v>1316</v>
      </c>
      <c r="C453">
        <v>38</v>
      </c>
      <c r="D453">
        <v>8</v>
      </c>
      <c r="E453">
        <v>11</v>
      </c>
      <c r="F453">
        <v>19</v>
      </c>
      <c r="G453">
        <v>32</v>
      </c>
      <c r="H453">
        <v>47</v>
      </c>
      <c r="I453">
        <v>-15</v>
      </c>
      <c r="J453">
        <v>35</v>
      </c>
      <c r="K453">
        <v>0.92</v>
      </c>
      <c r="M453" t="s">
        <v>1277</v>
      </c>
      <c r="N453" t="s">
        <v>779</v>
      </c>
      <c r="O453" t="s">
        <v>617</v>
      </c>
    </row>
    <row r="454" spans="1:15" x14ac:dyDescent="0.25">
      <c r="A454">
        <v>20</v>
      </c>
      <c r="B454" t="s">
        <v>1341</v>
      </c>
      <c r="C454">
        <v>38</v>
      </c>
      <c r="D454">
        <v>7</v>
      </c>
      <c r="E454">
        <v>7</v>
      </c>
      <c r="F454">
        <v>24</v>
      </c>
      <c r="G454">
        <v>34</v>
      </c>
      <c r="H454">
        <v>69</v>
      </c>
      <c r="I454">
        <v>-35</v>
      </c>
      <c r="J454">
        <v>28</v>
      </c>
      <c r="K454">
        <v>0.74</v>
      </c>
      <c r="M454" t="s">
        <v>1278</v>
      </c>
      <c r="N454" t="s">
        <v>1279</v>
      </c>
      <c r="O454" t="s">
        <v>1280</v>
      </c>
    </row>
    <row r="456" spans="1:15" x14ac:dyDescent="0.25">
      <c r="A456" t="s">
        <v>1075</v>
      </c>
    </row>
    <row r="458" spans="1:15" x14ac:dyDescent="0.25">
      <c r="A458" t="s">
        <v>641</v>
      </c>
      <c r="B458" t="s">
        <v>15</v>
      </c>
      <c r="C458" t="s">
        <v>17</v>
      </c>
      <c r="D458" t="s">
        <v>18</v>
      </c>
      <c r="E458" t="s">
        <v>4</v>
      </c>
      <c r="F458" t="s">
        <v>19</v>
      </c>
      <c r="G458" t="s">
        <v>20</v>
      </c>
      <c r="H458" t="s">
        <v>21</v>
      </c>
      <c r="I458" t="s">
        <v>22</v>
      </c>
      <c r="J458" t="s">
        <v>23</v>
      </c>
      <c r="K458" t="s">
        <v>578</v>
      </c>
      <c r="L458" t="s">
        <v>24</v>
      </c>
      <c r="M458" t="s">
        <v>25</v>
      </c>
      <c r="N458" t="s">
        <v>26</v>
      </c>
      <c r="O458" t="s">
        <v>27</v>
      </c>
    </row>
    <row r="459" spans="1:15" x14ac:dyDescent="0.25">
      <c r="A459">
        <v>1</v>
      </c>
      <c r="B459" t="s">
        <v>1311</v>
      </c>
      <c r="C459">
        <v>38</v>
      </c>
      <c r="D459">
        <v>25</v>
      </c>
      <c r="E459">
        <v>7</v>
      </c>
      <c r="F459">
        <v>6</v>
      </c>
      <c r="G459">
        <v>80</v>
      </c>
      <c r="H459">
        <v>35</v>
      </c>
      <c r="I459">
        <v>45</v>
      </c>
      <c r="J459">
        <v>82</v>
      </c>
      <c r="K459">
        <v>2.16</v>
      </c>
      <c r="M459" t="s">
        <v>1281</v>
      </c>
      <c r="N459" t="s">
        <v>1078</v>
      </c>
      <c r="O459" t="s">
        <v>851</v>
      </c>
    </row>
    <row r="460" spans="1:15" x14ac:dyDescent="0.25">
      <c r="A460">
        <v>2</v>
      </c>
      <c r="B460" t="s">
        <v>1312</v>
      </c>
      <c r="C460">
        <v>38</v>
      </c>
      <c r="D460">
        <v>20</v>
      </c>
      <c r="E460">
        <v>10</v>
      </c>
      <c r="F460">
        <v>8</v>
      </c>
      <c r="G460">
        <v>70</v>
      </c>
      <c r="H460">
        <v>40</v>
      </c>
      <c r="I460">
        <v>30</v>
      </c>
      <c r="J460">
        <v>70</v>
      </c>
      <c r="K460">
        <v>1.84</v>
      </c>
      <c r="M460" t="s">
        <v>1282</v>
      </c>
      <c r="N460" t="s">
        <v>1036</v>
      </c>
      <c r="O460" t="s">
        <v>36</v>
      </c>
    </row>
    <row r="461" spans="1:15" x14ac:dyDescent="0.25">
      <c r="A461">
        <v>3</v>
      </c>
      <c r="B461" t="s">
        <v>1317</v>
      </c>
      <c r="C461">
        <v>38</v>
      </c>
      <c r="D461">
        <v>19</v>
      </c>
      <c r="E461">
        <v>12</v>
      </c>
      <c r="F461">
        <v>7</v>
      </c>
      <c r="G461">
        <v>58</v>
      </c>
      <c r="H461">
        <v>33</v>
      </c>
      <c r="I461">
        <v>25</v>
      </c>
      <c r="J461">
        <v>69</v>
      </c>
      <c r="K461">
        <v>1.82</v>
      </c>
      <c r="M461" t="s">
        <v>1283</v>
      </c>
      <c r="N461" t="s">
        <v>1255</v>
      </c>
      <c r="O461" t="s">
        <v>36</v>
      </c>
    </row>
    <row r="462" spans="1:15" x14ac:dyDescent="0.25">
      <c r="A462">
        <v>4</v>
      </c>
      <c r="B462" t="s">
        <v>1327</v>
      </c>
      <c r="C462">
        <v>38</v>
      </c>
      <c r="D462">
        <v>21</v>
      </c>
      <c r="E462">
        <v>5</v>
      </c>
      <c r="F462">
        <v>12</v>
      </c>
      <c r="G462">
        <v>49</v>
      </c>
      <c r="H462">
        <v>43</v>
      </c>
      <c r="I462">
        <v>6</v>
      </c>
      <c r="J462">
        <v>68</v>
      </c>
      <c r="K462">
        <v>1.79</v>
      </c>
      <c r="M462" t="s">
        <v>1284</v>
      </c>
      <c r="N462" t="s">
        <v>1160</v>
      </c>
      <c r="O462" t="s">
        <v>36</v>
      </c>
    </row>
    <row r="463" spans="1:15" x14ac:dyDescent="0.25">
      <c r="A463">
        <v>5</v>
      </c>
      <c r="B463" t="s">
        <v>1314</v>
      </c>
      <c r="C463">
        <v>38</v>
      </c>
      <c r="D463">
        <v>20</v>
      </c>
      <c r="E463">
        <v>8</v>
      </c>
      <c r="F463">
        <v>10</v>
      </c>
      <c r="G463">
        <v>54</v>
      </c>
      <c r="H463">
        <v>39</v>
      </c>
      <c r="I463">
        <v>15</v>
      </c>
      <c r="J463">
        <v>68</v>
      </c>
      <c r="K463">
        <v>1.79</v>
      </c>
      <c r="M463" t="s">
        <v>1285</v>
      </c>
      <c r="N463" t="s">
        <v>1111</v>
      </c>
      <c r="O463" t="s">
        <v>1227</v>
      </c>
    </row>
    <row r="464" spans="1:15" x14ac:dyDescent="0.25">
      <c r="A464">
        <v>6</v>
      </c>
      <c r="B464" t="s">
        <v>1318</v>
      </c>
      <c r="C464">
        <v>38</v>
      </c>
      <c r="D464">
        <v>20</v>
      </c>
      <c r="E464">
        <v>4</v>
      </c>
      <c r="F464">
        <v>14</v>
      </c>
      <c r="G464">
        <v>45</v>
      </c>
      <c r="H464">
        <v>33</v>
      </c>
      <c r="I464">
        <v>12</v>
      </c>
      <c r="J464">
        <v>64</v>
      </c>
      <c r="K464">
        <v>1.68</v>
      </c>
      <c r="M464" t="s">
        <v>1286</v>
      </c>
      <c r="N464" t="s">
        <v>1276</v>
      </c>
      <c r="O464" t="s">
        <v>1227</v>
      </c>
    </row>
    <row r="465" spans="1:15" x14ac:dyDescent="0.25">
      <c r="A465">
        <v>7</v>
      </c>
      <c r="B465" t="s">
        <v>1315</v>
      </c>
      <c r="C465">
        <v>38</v>
      </c>
      <c r="D465">
        <v>14</v>
      </c>
      <c r="E465">
        <v>15</v>
      </c>
      <c r="F465">
        <v>9</v>
      </c>
      <c r="G465">
        <v>50</v>
      </c>
      <c r="H465">
        <v>39</v>
      </c>
      <c r="I465">
        <v>11</v>
      </c>
      <c r="J465">
        <v>57</v>
      </c>
      <c r="K465">
        <v>1.5</v>
      </c>
      <c r="M465" t="s">
        <v>1287</v>
      </c>
      <c r="N465" t="s">
        <v>1257</v>
      </c>
      <c r="O465" t="s">
        <v>1232</v>
      </c>
    </row>
    <row r="466" spans="1:15" x14ac:dyDescent="0.25">
      <c r="A466">
        <v>8</v>
      </c>
      <c r="B466" t="s">
        <v>1331</v>
      </c>
      <c r="C466">
        <v>38</v>
      </c>
      <c r="D466">
        <v>15</v>
      </c>
      <c r="E466">
        <v>10</v>
      </c>
      <c r="F466">
        <v>13</v>
      </c>
      <c r="G466">
        <v>47</v>
      </c>
      <c r="H466">
        <v>45</v>
      </c>
      <c r="I466">
        <v>2</v>
      </c>
      <c r="J466">
        <v>55</v>
      </c>
      <c r="K466">
        <v>1.45</v>
      </c>
      <c r="M466" t="s">
        <v>1288</v>
      </c>
      <c r="N466" t="s">
        <v>1271</v>
      </c>
    </row>
    <row r="467" spans="1:15" x14ac:dyDescent="0.25">
      <c r="A467">
        <v>9</v>
      </c>
      <c r="B467" t="s">
        <v>1322</v>
      </c>
      <c r="C467">
        <v>38</v>
      </c>
      <c r="D467">
        <v>15</v>
      </c>
      <c r="E467">
        <v>9</v>
      </c>
      <c r="F467">
        <v>14</v>
      </c>
      <c r="G467">
        <v>54</v>
      </c>
      <c r="H467">
        <v>49</v>
      </c>
      <c r="I467">
        <v>5</v>
      </c>
      <c r="J467">
        <v>54</v>
      </c>
      <c r="K467">
        <v>1.42</v>
      </c>
      <c r="M467" t="s">
        <v>1289</v>
      </c>
      <c r="N467" t="s">
        <v>1290</v>
      </c>
    </row>
    <row r="468" spans="1:15" x14ac:dyDescent="0.25">
      <c r="A468">
        <v>10</v>
      </c>
      <c r="B468" t="s">
        <v>1310</v>
      </c>
      <c r="C468">
        <v>38</v>
      </c>
      <c r="D468">
        <v>13</v>
      </c>
      <c r="E468">
        <v>13</v>
      </c>
      <c r="F468">
        <v>12</v>
      </c>
      <c r="G468">
        <v>45</v>
      </c>
      <c r="H468">
        <v>37</v>
      </c>
      <c r="I468">
        <v>8</v>
      </c>
      <c r="J468">
        <v>52</v>
      </c>
      <c r="K468">
        <v>1.37</v>
      </c>
      <c r="M468" t="s">
        <v>1291</v>
      </c>
      <c r="N468" t="s">
        <v>1165</v>
      </c>
    </row>
    <row r="469" spans="1:15" x14ac:dyDescent="0.25">
      <c r="A469">
        <v>11</v>
      </c>
      <c r="B469" t="s">
        <v>1332</v>
      </c>
      <c r="C469">
        <v>38</v>
      </c>
      <c r="D469">
        <v>10</v>
      </c>
      <c r="E469">
        <v>16</v>
      </c>
      <c r="F469">
        <v>12</v>
      </c>
      <c r="G469">
        <v>46</v>
      </c>
      <c r="H469">
        <v>51</v>
      </c>
      <c r="I469">
        <v>-5</v>
      </c>
      <c r="J469">
        <v>46</v>
      </c>
      <c r="K469">
        <v>1.21</v>
      </c>
      <c r="M469" t="s">
        <v>1292</v>
      </c>
      <c r="N469" t="s">
        <v>1177</v>
      </c>
    </row>
    <row r="470" spans="1:15" x14ac:dyDescent="0.25">
      <c r="A470">
        <v>12</v>
      </c>
      <c r="B470" t="s">
        <v>1313</v>
      </c>
      <c r="C470">
        <v>38</v>
      </c>
      <c r="D470">
        <v>11</v>
      </c>
      <c r="E470">
        <v>12</v>
      </c>
      <c r="F470">
        <v>15</v>
      </c>
      <c r="G470">
        <v>40</v>
      </c>
      <c r="H470">
        <v>46</v>
      </c>
      <c r="I470">
        <v>-6</v>
      </c>
      <c r="J470">
        <v>45</v>
      </c>
      <c r="K470">
        <v>1.18</v>
      </c>
      <c r="M470" t="s">
        <v>1293</v>
      </c>
      <c r="N470" t="s">
        <v>1294</v>
      </c>
    </row>
    <row r="471" spans="1:15" x14ac:dyDescent="0.25">
      <c r="A471">
        <v>13</v>
      </c>
      <c r="B471" t="s">
        <v>1330</v>
      </c>
      <c r="C471">
        <v>38</v>
      </c>
      <c r="D471">
        <v>10</v>
      </c>
      <c r="E471">
        <v>13</v>
      </c>
      <c r="F471">
        <v>15</v>
      </c>
      <c r="G471">
        <v>37</v>
      </c>
      <c r="H471">
        <v>51</v>
      </c>
      <c r="I471">
        <v>-14</v>
      </c>
      <c r="J471">
        <v>43</v>
      </c>
      <c r="K471">
        <v>1.1299999999999999</v>
      </c>
      <c r="M471" t="s">
        <v>1295</v>
      </c>
      <c r="N471" t="s">
        <v>1267</v>
      </c>
    </row>
    <row r="472" spans="1:15" x14ac:dyDescent="0.25">
      <c r="A472">
        <v>14</v>
      </c>
      <c r="B472" t="s">
        <v>1329</v>
      </c>
      <c r="C472">
        <v>38</v>
      </c>
      <c r="D472">
        <v>10</v>
      </c>
      <c r="E472">
        <v>12</v>
      </c>
      <c r="F472">
        <v>16</v>
      </c>
      <c r="G472">
        <v>34</v>
      </c>
      <c r="H472">
        <v>51</v>
      </c>
      <c r="I472">
        <v>-17</v>
      </c>
      <c r="J472">
        <v>42</v>
      </c>
      <c r="K472">
        <v>1.1100000000000001</v>
      </c>
      <c r="M472" t="s">
        <v>1296</v>
      </c>
      <c r="N472" t="s">
        <v>1273</v>
      </c>
    </row>
    <row r="473" spans="1:15" x14ac:dyDescent="0.25">
      <c r="A473">
        <v>15</v>
      </c>
      <c r="B473" t="s">
        <v>1323</v>
      </c>
      <c r="C473">
        <v>38</v>
      </c>
      <c r="D473">
        <v>10</v>
      </c>
      <c r="E473">
        <v>11</v>
      </c>
      <c r="F473">
        <v>17</v>
      </c>
      <c r="G473">
        <v>36</v>
      </c>
      <c r="H473">
        <v>56</v>
      </c>
      <c r="I473">
        <v>-20</v>
      </c>
      <c r="J473">
        <v>41</v>
      </c>
      <c r="K473">
        <v>1.08</v>
      </c>
      <c r="M473" t="s">
        <v>1297</v>
      </c>
      <c r="N473" t="s">
        <v>906</v>
      </c>
      <c r="O473" t="s">
        <v>1235</v>
      </c>
    </row>
    <row r="474" spans="1:15" x14ac:dyDescent="0.25">
      <c r="A474">
        <v>16</v>
      </c>
      <c r="B474" t="s">
        <v>1316</v>
      </c>
      <c r="C474">
        <v>38</v>
      </c>
      <c r="D474">
        <v>11</v>
      </c>
      <c r="E474">
        <v>7</v>
      </c>
      <c r="F474">
        <v>20</v>
      </c>
      <c r="G474">
        <v>48</v>
      </c>
      <c r="H474">
        <v>65</v>
      </c>
      <c r="I474">
        <v>-17</v>
      </c>
      <c r="J474">
        <v>40</v>
      </c>
      <c r="K474">
        <v>1.05</v>
      </c>
      <c r="M474" t="s">
        <v>1298</v>
      </c>
      <c r="N474" t="s">
        <v>915</v>
      </c>
    </row>
    <row r="475" spans="1:15" x14ac:dyDescent="0.25">
      <c r="A475">
        <v>17</v>
      </c>
      <c r="B475" t="s">
        <v>1334</v>
      </c>
      <c r="C475">
        <v>38</v>
      </c>
      <c r="D475">
        <v>9</v>
      </c>
      <c r="E475">
        <v>13</v>
      </c>
      <c r="F475">
        <v>16</v>
      </c>
      <c r="G475">
        <v>36</v>
      </c>
      <c r="H475">
        <v>49</v>
      </c>
      <c r="I475">
        <v>-13</v>
      </c>
      <c r="J475">
        <v>40</v>
      </c>
      <c r="K475">
        <v>1.05</v>
      </c>
      <c r="M475" t="s">
        <v>1299</v>
      </c>
      <c r="N475" t="s">
        <v>1121</v>
      </c>
    </row>
    <row r="476" spans="1:15" x14ac:dyDescent="0.25">
      <c r="A476">
        <v>18</v>
      </c>
      <c r="B476" t="s">
        <v>1342</v>
      </c>
      <c r="C476">
        <v>38</v>
      </c>
      <c r="D476">
        <v>9</v>
      </c>
      <c r="E476">
        <v>12</v>
      </c>
      <c r="F476">
        <v>17</v>
      </c>
      <c r="G476">
        <v>35</v>
      </c>
      <c r="H476">
        <v>54</v>
      </c>
      <c r="I476">
        <v>-19</v>
      </c>
      <c r="J476">
        <v>39</v>
      </c>
      <c r="K476">
        <v>1.03</v>
      </c>
      <c r="M476" t="s">
        <v>1300</v>
      </c>
      <c r="N476" t="s">
        <v>1301</v>
      </c>
      <c r="O476" t="s">
        <v>617</v>
      </c>
    </row>
    <row r="477" spans="1:15" x14ac:dyDescent="0.25">
      <c r="A477">
        <v>19</v>
      </c>
      <c r="B477" t="s">
        <v>1343</v>
      </c>
      <c r="C477">
        <v>38</v>
      </c>
      <c r="D477">
        <v>8</v>
      </c>
      <c r="E477">
        <v>12</v>
      </c>
      <c r="F477">
        <v>18</v>
      </c>
      <c r="G477">
        <v>36</v>
      </c>
      <c r="H477">
        <v>52</v>
      </c>
      <c r="I477">
        <v>-16</v>
      </c>
      <c r="J477">
        <v>36</v>
      </c>
      <c r="K477">
        <v>0.95</v>
      </c>
      <c r="M477" t="s">
        <v>1302</v>
      </c>
      <c r="N477" t="s">
        <v>1237</v>
      </c>
      <c r="O477" t="s">
        <v>617</v>
      </c>
    </row>
    <row r="478" spans="1:15" x14ac:dyDescent="0.25">
      <c r="A478">
        <v>20</v>
      </c>
      <c r="B478" t="s">
        <v>1320</v>
      </c>
      <c r="C478">
        <v>38</v>
      </c>
      <c r="D478">
        <v>5</v>
      </c>
      <c r="E478">
        <v>9</v>
      </c>
      <c r="F478">
        <v>24</v>
      </c>
      <c r="G478">
        <v>36</v>
      </c>
      <c r="H478">
        <v>68</v>
      </c>
      <c r="I478">
        <v>-32</v>
      </c>
      <c r="J478">
        <v>24</v>
      </c>
      <c r="K478">
        <v>0.63</v>
      </c>
      <c r="M478" t="s">
        <v>1303</v>
      </c>
      <c r="N478" t="s">
        <v>1304</v>
      </c>
      <c r="O478" t="s">
        <v>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3EED6-39E8-4CCB-A3A0-DB88D02DC924}">
  <dimension ref="A2:R48"/>
  <sheetViews>
    <sheetView workbookViewId="0">
      <selection activeCell="O47" sqref="O47"/>
    </sheetView>
  </sheetViews>
  <sheetFormatPr defaultRowHeight="15" x14ac:dyDescent="0.25"/>
  <cols>
    <col min="1" max="1" width="11.7109375" customWidth="1"/>
    <col min="16" max="16" width="12.5703125" customWidth="1"/>
  </cols>
  <sheetData>
    <row r="2" spans="1:18" x14ac:dyDescent="0.25">
      <c r="A2" t="s">
        <v>0</v>
      </c>
      <c r="B2" t="s">
        <v>1</v>
      </c>
      <c r="C2" t="s">
        <v>16</v>
      </c>
      <c r="D2" t="s">
        <v>51</v>
      </c>
      <c r="E2" t="s">
        <v>52</v>
      </c>
      <c r="F2" t="s">
        <v>53</v>
      </c>
      <c r="G2" t="s">
        <v>54</v>
      </c>
      <c r="H2" t="s">
        <v>20</v>
      </c>
      <c r="I2" t="s">
        <v>21</v>
      </c>
      <c r="J2" t="s">
        <v>45</v>
      </c>
      <c r="K2" t="s">
        <v>57</v>
      </c>
      <c r="L2" t="s">
        <v>24</v>
      </c>
      <c r="M2" t="s">
        <v>965</v>
      </c>
      <c r="N2" t="s">
        <v>966</v>
      </c>
      <c r="O2" t="s">
        <v>967</v>
      </c>
      <c r="P2" t="s">
        <v>968</v>
      </c>
      <c r="Q2" t="s">
        <v>969</v>
      </c>
      <c r="R2" t="s">
        <v>27</v>
      </c>
    </row>
    <row r="3" spans="1:18" x14ac:dyDescent="0.25">
      <c r="A3" s="1">
        <v>41874</v>
      </c>
      <c r="B3" t="s">
        <v>181</v>
      </c>
      <c r="C3" t="s">
        <v>58</v>
      </c>
      <c r="D3" t="s">
        <v>59</v>
      </c>
      <c r="E3" t="s">
        <v>64</v>
      </c>
      <c r="F3" t="s">
        <v>44</v>
      </c>
      <c r="G3" t="s">
        <v>4</v>
      </c>
      <c r="H3">
        <v>1</v>
      </c>
      <c r="I3">
        <v>1</v>
      </c>
      <c r="J3" t="s">
        <v>2</v>
      </c>
      <c r="K3">
        <v>53</v>
      </c>
      <c r="L3" s="2">
        <v>29352</v>
      </c>
      <c r="N3" t="s">
        <v>971</v>
      </c>
      <c r="O3" t="s">
        <v>971</v>
      </c>
      <c r="P3" t="s">
        <v>985</v>
      </c>
      <c r="Q3" t="s">
        <v>969</v>
      </c>
    </row>
    <row r="4" spans="1:18" x14ac:dyDescent="0.25">
      <c r="A4" s="1">
        <v>41880</v>
      </c>
      <c r="B4" t="s">
        <v>176</v>
      </c>
      <c r="C4" t="s">
        <v>58</v>
      </c>
      <c r="D4" t="s">
        <v>61</v>
      </c>
      <c r="E4" t="s">
        <v>60</v>
      </c>
      <c r="F4" t="s">
        <v>43</v>
      </c>
      <c r="G4" t="s">
        <v>18</v>
      </c>
      <c r="H4">
        <v>3</v>
      </c>
      <c r="I4">
        <v>0</v>
      </c>
      <c r="J4" t="s">
        <v>70</v>
      </c>
      <c r="K4">
        <v>60</v>
      </c>
      <c r="L4" s="2">
        <v>41550</v>
      </c>
      <c r="N4" t="s">
        <v>971</v>
      </c>
      <c r="O4" t="s">
        <v>971</v>
      </c>
      <c r="P4" t="s">
        <v>988</v>
      </c>
      <c r="Q4" t="s">
        <v>969</v>
      </c>
    </row>
    <row r="5" spans="1:18" x14ac:dyDescent="0.25">
      <c r="A5" s="1">
        <v>41896</v>
      </c>
      <c r="B5" t="s">
        <v>244</v>
      </c>
      <c r="C5" t="s">
        <v>58</v>
      </c>
      <c r="D5" t="s">
        <v>63</v>
      </c>
      <c r="E5" t="s">
        <v>62</v>
      </c>
      <c r="F5" t="s">
        <v>43</v>
      </c>
      <c r="G5" t="s">
        <v>18</v>
      </c>
      <c r="H5">
        <v>3</v>
      </c>
      <c r="I5">
        <v>1</v>
      </c>
      <c r="J5" t="s">
        <v>48</v>
      </c>
      <c r="K5">
        <v>55</v>
      </c>
      <c r="L5" s="2">
        <v>38500</v>
      </c>
      <c r="N5" t="s">
        <v>971</v>
      </c>
      <c r="O5" t="s">
        <v>971</v>
      </c>
      <c r="P5" t="s">
        <v>1005</v>
      </c>
      <c r="Q5" t="s">
        <v>969</v>
      </c>
    </row>
    <row r="6" spans="1:18" x14ac:dyDescent="0.25">
      <c r="A6" s="1">
        <v>41904</v>
      </c>
      <c r="B6" t="s">
        <v>156</v>
      </c>
      <c r="C6" t="s">
        <v>58</v>
      </c>
      <c r="D6" t="s">
        <v>66</v>
      </c>
      <c r="E6" t="s">
        <v>117</v>
      </c>
      <c r="F6" t="s">
        <v>44</v>
      </c>
      <c r="G6" t="s">
        <v>18</v>
      </c>
      <c r="H6">
        <v>3</v>
      </c>
      <c r="I6">
        <v>0</v>
      </c>
      <c r="J6" t="s">
        <v>12</v>
      </c>
      <c r="K6">
        <v>43</v>
      </c>
      <c r="L6" s="2">
        <v>6000</v>
      </c>
      <c r="N6" s="1">
        <v>37714</v>
      </c>
      <c r="O6" s="1">
        <v>37350</v>
      </c>
      <c r="P6" t="s">
        <v>982</v>
      </c>
      <c r="Q6" t="s">
        <v>969</v>
      </c>
    </row>
    <row r="7" spans="1:18" x14ac:dyDescent="0.25">
      <c r="A7" s="1">
        <v>41907</v>
      </c>
      <c r="B7" t="s">
        <v>176</v>
      </c>
      <c r="C7" t="s">
        <v>58</v>
      </c>
      <c r="D7" t="s">
        <v>68</v>
      </c>
      <c r="E7" t="s">
        <v>85</v>
      </c>
      <c r="F7" t="s">
        <v>43</v>
      </c>
      <c r="G7" t="s">
        <v>18</v>
      </c>
      <c r="H7">
        <v>3</v>
      </c>
      <c r="I7">
        <v>0</v>
      </c>
      <c r="J7" t="s">
        <v>255</v>
      </c>
      <c r="K7">
        <v>60</v>
      </c>
      <c r="L7" s="2">
        <v>36000</v>
      </c>
      <c r="N7" s="1">
        <v>37714</v>
      </c>
      <c r="O7" t="s">
        <v>971</v>
      </c>
      <c r="P7" t="s">
        <v>972</v>
      </c>
      <c r="Q7" t="s">
        <v>969</v>
      </c>
    </row>
    <row r="8" spans="1:18" x14ac:dyDescent="0.25">
      <c r="A8" s="1">
        <v>41910</v>
      </c>
      <c r="B8" t="s">
        <v>162</v>
      </c>
      <c r="C8" t="s">
        <v>58</v>
      </c>
      <c r="D8" t="s">
        <v>71</v>
      </c>
      <c r="E8" t="s">
        <v>62</v>
      </c>
      <c r="F8" t="s">
        <v>44</v>
      </c>
      <c r="G8" t="s">
        <v>4</v>
      </c>
      <c r="H8">
        <v>1</v>
      </c>
      <c r="I8">
        <v>1</v>
      </c>
      <c r="J8" t="s">
        <v>49</v>
      </c>
      <c r="K8">
        <v>46</v>
      </c>
      <c r="L8" s="2">
        <v>25168</v>
      </c>
      <c r="N8" t="s">
        <v>971</v>
      </c>
      <c r="O8" t="s">
        <v>971</v>
      </c>
      <c r="P8" t="s">
        <v>987</v>
      </c>
      <c r="Q8" t="s">
        <v>969</v>
      </c>
    </row>
    <row r="9" spans="1:18" x14ac:dyDescent="0.25">
      <c r="A9" s="1">
        <v>41916</v>
      </c>
      <c r="B9" t="s">
        <v>228</v>
      </c>
      <c r="C9" t="s">
        <v>58</v>
      </c>
      <c r="D9" t="s">
        <v>72</v>
      </c>
      <c r="E9" t="s">
        <v>64</v>
      </c>
      <c r="F9" t="s">
        <v>43</v>
      </c>
      <c r="G9" t="s">
        <v>18</v>
      </c>
      <c r="H9">
        <v>3</v>
      </c>
      <c r="I9">
        <v>1</v>
      </c>
      <c r="J9" t="s">
        <v>65</v>
      </c>
      <c r="K9">
        <v>41</v>
      </c>
      <c r="L9" s="2">
        <v>44000</v>
      </c>
      <c r="N9" s="1">
        <v>37714</v>
      </c>
      <c r="O9" t="s">
        <v>971</v>
      </c>
      <c r="P9" t="s">
        <v>1305</v>
      </c>
      <c r="Q9" t="s">
        <v>969</v>
      </c>
    </row>
    <row r="10" spans="1:18" x14ac:dyDescent="0.25">
      <c r="A10" s="1">
        <v>41931</v>
      </c>
      <c r="B10" t="s">
        <v>244</v>
      </c>
      <c r="C10" t="s">
        <v>58</v>
      </c>
      <c r="D10" t="s">
        <v>74</v>
      </c>
      <c r="E10" t="s">
        <v>62</v>
      </c>
      <c r="F10" t="s">
        <v>44</v>
      </c>
      <c r="G10" t="s">
        <v>19</v>
      </c>
      <c r="H10">
        <v>0</v>
      </c>
      <c r="I10">
        <v>3</v>
      </c>
      <c r="J10" t="s">
        <v>95</v>
      </c>
      <c r="K10">
        <v>59</v>
      </c>
      <c r="L10" s="2">
        <v>21908</v>
      </c>
      <c r="N10" s="1">
        <v>37714</v>
      </c>
      <c r="O10" t="s">
        <v>971</v>
      </c>
      <c r="P10" t="s">
        <v>988</v>
      </c>
      <c r="Q10" t="s">
        <v>969</v>
      </c>
    </row>
    <row r="11" spans="1:18" x14ac:dyDescent="0.25">
      <c r="A11" s="1">
        <v>41937</v>
      </c>
      <c r="B11" t="s">
        <v>155</v>
      </c>
      <c r="C11" t="s">
        <v>58</v>
      </c>
      <c r="D11" t="s">
        <v>75</v>
      </c>
      <c r="E11" t="s">
        <v>64</v>
      </c>
      <c r="F11" t="s">
        <v>43</v>
      </c>
      <c r="G11" t="s">
        <v>18</v>
      </c>
      <c r="H11">
        <v>3</v>
      </c>
      <c r="I11">
        <v>1</v>
      </c>
      <c r="J11" t="s">
        <v>123</v>
      </c>
      <c r="K11">
        <v>50</v>
      </c>
      <c r="L11" s="2">
        <v>42783</v>
      </c>
      <c r="N11" t="s">
        <v>971</v>
      </c>
      <c r="O11" t="s">
        <v>971</v>
      </c>
      <c r="P11" t="s">
        <v>982</v>
      </c>
      <c r="Q11" t="s">
        <v>969</v>
      </c>
    </row>
    <row r="12" spans="1:18" x14ac:dyDescent="0.25">
      <c r="A12" s="1">
        <v>41945</v>
      </c>
      <c r="B12" t="s">
        <v>244</v>
      </c>
      <c r="C12" t="s">
        <v>58</v>
      </c>
      <c r="D12" t="s">
        <v>79</v>
      </c>
      <c r="E12" t="s">
        <v>62</v>
      </c>
      <c r="F12" t="s">
        <v>44</v>
      </c>
      <c r="G12" t="s">
        <v>18</v>
      </c>
      <c r="H12">
        <v>3</v>
      </c>
      <c r="I12">
        <v>1</v>
      </c>
      <c r="J12" t="s">
        <v>10</v>
      </c>
      <c r="K12">
        <v>40</v>
      </c>
      <c r="L12" s="2">
        <v>23000</v>
      </c>
      <c r="N12" s="1">
        <v>37350</v>
      </c>
      <c r="O12" s="1">
        <v>37350</v>
      </c>
      <c r="P12" t="s">
        <v>1014</v>
      </c>
      <c r="Q12" t="s">
        <v>969</v>
      </c>
    </row>
    <row r="13" spans="1:18" x14ac:dyDescent="0.25">
      <c r="A13" s="1">
        <v>41952</v>
      </c>
      <c r="B13" t="s">
        <v>162</v>
      </c>
      <c r="C13" t="s">
        <v>58</v>
      </c>
      <c r="D13" t="s">
        <v>81</v>
      </c>
      <c r="E13" t="s">
        <v>62</v>
      </c>
      <c r="F13" t="s">
        <v>43</v>
      </c>
      <c r="G13" t="s">
        <v>4</v>
      </c>
      <c r="H13">
        <v>0</v>
      </c>
      <c r="I13">
        <v>0</v>
      </c>
      <c r="J13" t="s">
        <v>73</v>
      </c>
      <c r="K13">
        <v>47</v>
      </c>
      <c r="L13" s="2">
        <v>39600</v>
      </c>
      <c r="N13" t="s">
        <v>971</v>
      </c>
      <c r="O13" t="s">
        <v>971</v>
      </c>
      <c r="P13" t="s">
        <v>985</v>
      </c>
      <c r="Q13" t="s">
        <v>969</v>
      </c>
    </row>
    <row r="14" spans="1:18" x14ac:dyDescent="0.25">
      <c r="A14" s="1">
        <v>41966</v>
      </c>
      <c r="B14" t="s">
        <v>244</v>
      </c>
      <c r="C14" t="s">
        <v>58</v>
      </c>
      <c r="D14" t="s">
        <v>83</v>
      </c>
      <c r="E14" t="s">
        <v>62</v>
      </c>
      <c r="F14" t="s">
        <v>44</v>
      </c>
      <c r="G14" t="s">
        <v>19</v>
      </c>
      <c r="H14">
        <v>1</v>
      </c>
      <c r="I14">
        <v>2</v>
      </c>
      <c r="J14" t="s">
        <v>67</v>
      </c>
      <c r="K14">
        <v>65</v>
      </c>
      <c r="L14" s="2">
        <v>17200</v>
      </c>
      <c r="N14" s="1">
        <v>37350</v>
      </c>
      <c r="O14" s="1">
        <v>37350</v>
      </c>
      <c r="P14" t="s">
        <v>972</v>
      </c>
      <c r="Q14" t="s">
        <v>969</v>
      </c>
    </row>
    <row r="15" spans="1:18" x14ac:dyDescent="0.25">
      <c r="A15" s="1">
        <v>41973</v>
      </c>
      <c r="B15" t="s">
        <v>181</v>
      </c>
      <c r="C15" t="s">
        <v>58</v>
      </c>
      <c r="D15" t="s">
        <v>84</v>
      </c>
      <c r="E15" t="s">
        <v>62</v>
      </c>
      <c r="F15" t="s">
        <v>43</v>
      </c>
      <c r="G15" t="s">
        <v>19</v>
      </c>
      <c r="H15">
        <v>0</v>
      </c>
      <c r="I15">
        <v>1</v>
      </c>
      <c r="J15" t="s">
        <v>13</v>
      </c>
      <c r="K15">
        <v>34</v>
      </c>
      <c r="L15" s="2">
        <v>51200</v>
      </c>
      <c r="N15" s="1">
        <v>37714</v>
      </c>
      <c r="O15" s="1">
        <v>37714</v>
      </c>
      <c r="P15" t="s">
        <v>978</v>
      </c>
      <c r="Q15" t="s">
        <v>969</v>
      </c>
    </row>
    <row r="16" spans="1:18" x14ac:dyDescent="0.25">
      <c r="A16" s="1">
        <v>41977</v>
      </c>
      <c r="B16" t="s">
        <v>176</v>
      </c>
      <c r="C16" t="s">
        <v>76</v>
      </c>
      <c r="D16" t="s">
        <v>77</v>
      </c>
      <c r="E16" t="s">
        <v>85</v>
      </c>
      <c r="F16" t="s">
        <v>44</v>
      </c>
      <c r="G16" t="s">
        <v>18</v>
      </c>
      <c r="H16">
        <v>2</v>
      </c>
      <c r="I16">
        <v>1</v>
      </c>
      <c r="J16" t="s">
        <v>46</v>
      </c>
      <c r="P16" t="s">
        <v>989</v>
      </c>
      <c r="Q16" t="s">
        <v>969</v>
      </c>
      <c r="R16" t="s">
        <v>986</v>
      </c>
    </row>
    <row r="17" spans="1:18" x14ac:dyDescent="0.25">
      <c r="A17" s="1">
        <v>41980</v>
      </c>
      <c r="B17" t="s">
        <v>181</v>
      </c>
      <c r="C17" t="s">
        <v>58</v>
      </c>
      <c r="D17" t="s">
        <v>86</v>
      </c>
      <c r="E17" t="s">
        <v>62</v>
      </c>
      <c r="F17" t="s">
        <v>44</v>
      </c>
      <c r="G17" t="s">
        <v>4</v>
      </c>
      <c r="H17">
        <v>1</v>
      </c>
      <c r="I17">
        <v>1</v>
      </c>
      <c r="J17" t="s">
        <v>14</v>
      </c>
      <c r="K17">
        <v>52</v>
      </c>
      <c r="L17" s="2">
        <v>18300</v>
      </c>
      <c r="N17" s="1">
        <v>37714</v>
      </c>
      <c r="O17" s="1">
        <v>37350</v>
      </c>
      <c r="P17" t="s">
        <v>974</v>
      </c>
      <c r="Q17" t="s">
        <v>969</v>
      </c>
    </row>
    <row r="18" spans="1:18" x14ac:dyDescent="0.25">
      <c r="A18" s="1">
        <v>41986</v>
      </c>
      <c r="B18" t="s">
        <v>209</v>
      </c>
      <c r="C18" t="s">
        <v>58</v>
      </c>
      <c r="D18" t="s">
        <v>87</v>
      </c>
      <c r="E18" t="s">
        <v>64</v>
      </c>
      <c r="F18" t="s">
        <v>43</v>
      </c>
      <c r="G18" t="s">
        <v>18</v>
      </c>
      <c r="H18">
        <v>3</v>
      </c>
      <c r="I18">
        <v>0</v>
      </c>
      <c r="J18" t="s">
        <v>46</v>
      </c>
      <c r="K18">
        <v>43</v>
      </c>
      <c r="L18" s="2">
        <v>41000</v>
      </c>
      <c r="N18" t="s">
        <v>971</v>
      </c>
      <c r="O18" t="s">
        <v>971</v>
      </c>
      <c r="P18" t="s">
        <v>1306</v>
      </c>
      <c r="Q18" t="s">
        <v>969</v>
      </c>
    </row>
    <row r="19" spans="1:18" x14ac:dyDescent="0.25">
      <c r="A19" s="1">
        <v>41989</v>
      </c>
      <c r="B19" t="s">
        <v>155</v>
      </c>
      <c r="C19" t="s">
        <v>76</v>
      </c>
      <c r="D19" t="s">
        <v>77</v>
      </c>
      <c r="E19" t="s">
        <v>69</v>
      </c>
      <c r="F19" t="s">
        <v>43</v>
      </c>
      <c r="G19" t="s">
        <v>4</v>
      </c>
      <c r="H19">
        <v>4</v>
      </c>
      <c r="I19">
        <v>4</v>
      </c>
      <c r="J19" t="s">
        <v>46</v>
      </c>
      <c r="L19" s="2">
        <v>23600</v>
      </c>
      <c r="P19" t="s">
        <v>977</v>
      </c>
      <c r="Q19" t="s">
        <v>969</v>
      </c>
      <c r="R19" t="s">
        <v>990</v>
      </c>
    </row>
    <row r="20" spans="1:18" x14ac:dyDescent="0.25">
      <c r="A20" s="1">
        <v>41993</v>
      </c>
      <c r="B20" t="s">
        <v>155</v>
      </c>
      <c r="C20" t="s">
        <v>58</v>
      </c>
      <c r="D20" t="s">
        <v>88</v>
      </c>
      <c r="E20" t="s">
        <v>64</v>
      </c>
      <c r="F20" t="s">
        <v>44</v>
      </c>
      <c r="G20" t="s">
        <v>18</v>
      </c>
      <c r="H20">
        <v>1</v>
      </c>
      <c r="I20">
        <v>0</v>
      </c>
      <c r="J20" t="s">
        <v>89</v>
      </c>
      <c r="K20">
        <v>46</v>
      </c>
      <c r="L20" s="2">
        <v>4700</v>
      </c>
      <c r="N20" t="s">
        <v>983</v>
      </c>
      <c r="O20" s="1">
        <v>37684</v>
      </c>
      <c r="P20" t="s">
        <v>1004</v>
      </c>
      <c r="Q20" t="s">
        <v>969</v>
      </c>
    </row>
    <row r="21" spans="1:18" x14ac:dyDescent="0.25">
      <c r="A21" s="1">
        <v>42008</v>
      </c>
      <c r="B21" t="s">
        <v>244</v>
      </c>
      <c r="C21" t="s">
        <v>58</v>
      </c>
      <c r="D21" t="s">
        <v>90</v>
      </c>
      <c r="E21" t="s">
        <v>62</v>
      </c>
      <c r="F21" t="s">
        <v>43</v>
      </c>
      <c r="G21" t="s">
        <v>18</v>
      </c>
      <c r="H21">
        <v>2</v>
      </c>
      <c r="I21">
        <v>1</v>
      </c>
      <c r="J21" t="s">
        <v>8</v>
      </c>
      <c r="K21">
        <v>39</v>
      </c>
      <c r="L21" s="2">
        <v>54800</v>
      </c>
      <c r="N21" t="s">
        <v>983</v>
      </c>
      <c r="O21" s="1">
        <v>37714</v>
      </c>
      <c r="P21" t="s">
        <v>976</v>
      </c>
      <c r="Q21" t="s">
        <v>969</v>
      </c>
    </row>
    <row r="22" spans="1:18" x14ac:dyDescent="0.25">
      <c r="A22" s="1">
        <v>42011</v>
      </c>
      <c r="B22" t="s">
        <v>176</v>
      </c>
      <c r="C22" t="s">
        <v>76</v>
      </c>
      <c r="D22" t="s">
        <v>91</v>
      </c>
      <c r="E22" t="s">
        <v>92</v>
      </c>
      <c r="F22" t="s">
        <v>43</v>
      </c>
      <c r="G22" t="s">
        <v>18</v>
      </c>
      <c r="H22">
        <v>2</v>
      </c>
      <c r="I22">
        <v>1</v>
      </c>
      <c r="J22" t="s">
        <v>48</v>
      </c>
      <c r="L22" s="2">
        <v>35000</v>
      </c>
      <c r="P22" t="s">
        <v>982</v>
      </c>
      <c r="Q22" t="s">
        <v>969</v>
      </c>
      <c r="R22" t="s">
        <v>986</v>
      </c>
    </row>
    <row r="23" spans="1:18" x14ac:dyDescent="0.25">
      <c r="A23" t="s">
        <v>0</v>
      </c>
      <c r="B23" t="s">
        <v>1</v>
      </c>
      <c r="C23" t="s">
        <v>16</v>
      </c>
      <c r="D23" t="s">
        <v>51</v>
      </c>
      <c r="E23" t="s">
        <v>52</v>
      </c>
      <c r="F23" t="s">
        <v>53</v>
      </c>
      <c r="G23" t="s">
        <v>54</v>
      </c>
      <c r="H23" t="s">
        <v>20</v>
      </c>
      <c r="I23" t="s">
        <v>21</v>
      </c>
      <c r="J23" t="s">
        <v>45</v>
      </c>
      <c r="L23" t="s">
        <v>24</v>
      </c>
      <c r="M23" t="s">
        <v>965</v>
      </c>
      <c r="N23" t="s">
        <v>966</v>
      </c>
      <c r="O23" t="s">
        <v>967</v>
      </c>
      <c r="P23" t="s">
        <v>968</v>
      </c>
      <c r="Q23" t="s">
        <v>969</v>
      </c>
      <c r="R23" t="s">
        <v>27</v>
      </c>
    </row>
    <row r="24" spans="1:18" x14ac:dyDescent="0.25">
      <c r="A24" s="1">
        <v>42014</v>
      </c>
      <c r="B24" t="s">
        <v>155</v>
      </c>
      <c r="C24" t="s">
        <v>58</v>
      </c>
      <c r="D24" t="s">
        <v>93</v>
      </c>
      <c r="E24" t="s">
        <v>64</v>
      </c>
      <c r="F24" t="s">
        <v>44</v>
      </c>
      <c r="G24" t="s">
        <v>4</v>
      </c>
      <c r="H24">
        <v>1</v>
      </c>
      <c r="I24">
        <v>1</v>
      </c>
      <c r="J24" t="s">
        <v>50</v>
      </c>
      <c r="K24">
        <v>39</v>
      </c>
      <c r="L24" s="2">
        <v>19218</v>
      </c>
      <c r="N24" s="1">
        <v>37350</v>
      </c>
      <c r="O24" s="1">
        <v>37320</v>
      </c>
      <c r="P24" t="s">
        <v>975</v>
      </c>
      <c r="Q24" t="s">
        <v>969</v>
      </c>
    </row>
    <row r="25" spans="1:18" x14ac:dyDescent="0.25">
      <c r="A25" s="1">
        <v>42017</v>
      </c>
      <c r="B25" t="s">
        <v>155</v>
      </c>
      <c r="C25" t="s">
        <v>76</v>
      </c>
      <c r="D25" t="s">
        <v>91</v>
      </c>
      <c r="E25" t="s">
        <v>69</v>
      </c>
      <c r="F25" t="s">
        <v>44</v>
      </c>
      <c r="G25" t="s">
        <v>19</v>
      </c>
      <c r="H25">
        <v>0</v>
      </c>
      <c r="I25">
        <v>2</v>
      </c>
      <c r="J25" t="s">
        <v>48</v>
      </c>
      <c r="L25" s="2">
        <v>16950</v>
      </c>
      <c r="P25" t="s">
        <v>987</v>
      </c>
      <c r="Q25" t="s">
        <v>969</v>
      </c>
      <c r="R25" t="s">
        <v>1307</v>
      </c>
    </row>
    <row r="26" spans="1:18" x14ac:dyDescent="0.25">
      <c r="A26" s="1">
        <v>42021</v>
      </c>
      <c r="B26" t="s">
        <v>209</v>
      </c>
      <c r="C26" t="s">
        <v>58</v>
      </c>
      <c r="D26" t="s">
        <v>94</v>
      </c>
      <c r="E26" t="s">
        <v>64</v>
      </c>
      <c r="F26" t="s">
        <v>43</v>
      </c>
      <c r="G26" t="s">
        <v>18</v>
      </c>
      <c r="H26">
        <v>3</v>
      </c>
      <c r="I26">
        <v>2</v>
      </c>
      <c r="J26" t="s">
        <v>128</v>
      </c>
      <c r="K26">
        <v>65</v>
      </c>
      <c r="L26" s="2">
        <v>43391</v>
      </c>
      <c r="N26" t="s">
        <v>1010</v>
      </c>
      <c r="O26" t="s">
        <v>971</v>
      </c>
      <c r="P26" t="s">
        <v>972</v>
      </c>
      <c r="Q26" t="s">
        <v>969</v>
      </c>
    </row>
    <row r="27" spans="1:18" x14ac:dyDescent="0.25">
      <c r="A27" s="1">
        <v>42029</v>
      </c>
      <c r="B27" t="s">
        <v>181</v>
      </c>
      <c r="C27" t="s">
        <v>58</v>
      </c>
      <c r="D27" t="s">
        <v>97</v>
      </c>
      <c r="E27" t="s">
        <v>62</v>
      </c>
      <c r="F27" t="s">
        <v>43</v>
      </c>
      <c r="G27" t="s">
        <v>18</v>
      </c>
      <c r="H27">
        <v>3</v>
      </c>
      <c r="I27">
        <v>1</v>
      </c>
      <c r="J27" t="s">
        <v>2</v>
      </c>
      <c r="K27">
        <v>36</v>
      </c>
      <c r="L27" s="2">
        <v>46704</v>
      </c>
      <c r="N27" t="s">
        <v>971</v>
      </c>
      <c r="O27" t="s">
        <v>971</v>
      </c>
      <c r="P27" t="s">
        <v>977</v>
      </c>
      <c r="Q27" t="s">
        <v>969</v>
      </c>
    </row>
    <row r="28" spans="1:18" x14ac:dyDescent="0.25">
      <c r="A28" s="1">
        <v>42037</v>
      </c>
      <c r="B28" t="s">
        <v>156</v>
      </c>
      <c r="C28" t="s">
        <v>58</v>
      </c>
      <c r="D28" t="s">
        <v>98</v>
      </c>
      <c r="E28" t="s">
        <v>117</v>
      </c>
      <c r="F28" t="s">
        <v>44</v>
      </c>
      <c r="G28" t="s">
        <v>19</v>
      </c>
      <c r="H28">
        <v>0</v>
      </c>
      <c r="I28">
        <v>1</v>
      </c>
      <c r="J28" t="s">
        <v>70</v>
      </c>
      <c r="K28">
        <v>51</v>
      </c>
      <c r="L28" s="2">
        <v>20191</v>
      </c>
      <c r="N28" s="1">
        <v>37350</v>
      </c>
      <c r="O28" t="s">
        <v>971</v>
      </c>
      <c r="P28" t="s">
        <v>1005</v>
      </c>
      <c r="Q28" t="s">
        <v>969</v>
      </c>
    </row>
    <row r="29" spans="1:18" x14ac:dyDescent="0.25">
      <c r="A29" s="1">
        <v>42043</v>
      </c>
      <c r="B29" t="s">
        <v>162</v>
      </c>
      <c r="C29" t="s">
        <v>58</v>
      </c>
      <c r="D29" t="s">
        <v>100</v>
      </c>
      <c r="E29" t="s">
        <v>62</v>
      </c>
      <c r="F29" t="s">
        <v>44</v>
      </c>
      <c r="G29" t="s">
        <v>18</v>
      </c>
      <c r="H29">
        <v>2</v>
      </c>
      <c r="I29">
        <v>1</v>
      </c>
      <c r="J29" t="s">
        <v>48</v>
      </c>
      <c r="K29">
        <v>53</v>
      </c>
      <c r="L29" s="2">
        <v>18752</v>
      </c>
      <c r="N29" t="s">
        <v>1010</v>
      </c>
      <c r="O29" s="1">
        <v>37350</v>
      </c>
      <c r="P29" t="s">
        <v>989</v>
      </c>
      <c r="Q29" t="s">
        <v>969</v>
      </c>
    </row>
    <row r="30" spans="1:18" x14ac:dyDescent="0.25">
      <c r="A30" s="1">
        <v>42050</v>
      </c>
      <c r="B30" t="s">
        <v>168</v>
      </c>
      <c r="C30" t="s">
        <v>58</v>
      </c>
      <c r="D30" t="s">
        <v>101</v>
      </c>
      <c r="E30" t="s">
        <v>62</v>
      </c>
      <c r="F30" t="s">
        <v>43</v>
      </c>
      <c r="G30" t="s">
        <v>18</v>
      </c>
      <c r="H30">
        <v>1</v>
      </c>
      <c r="I30">
        <v>0</v>
      </c>
      <c r="J30" t="s">
        <v>12</v>
      </c>
      <c r="K30">
        <v>56</v>
      </c>
      <c r="L30" s="2">
        <v>48245</v>
      </c>
      <c r="N30" s="1">
        <v>37714</v>
      </c>
      <c r="O30" s="1">
        <v>37350</v>
      </c>
      <c r="P30" t="s">
        <v>975</v>
      </c>
      <c r="Q30" t="s">
        <v>969</v>
      </c>
    </row>
    <row r="31" spans="1:18" x14ac:dyDescent="0.25">
      <c r="A31" s="1">
        <v>42056</v>
      </c>
      <c r="B31" t="s">
        <v>209</v>
      </c>
      <c r="C31" t="s">
        <v>58</v>
      </c>
      <c r="D31" t="s">
        <v>102</v>
      </c>
      <c r="E31" t="s">
        <v>64</v>
      </c>
      <c r="F31" t="s">
        <v>44</v>
      </c>
      <c r="G31" t="s">
        <v>18</v>
      </c>
      <c r="H31">
        <v>2</v>
      </c>
      <c r="I31">
        <v>1</v>
      </c>
      <c r="J31" t="s">
        <v>255</v>
      </c>
      <c r="K31">
        <v>54</v>
      </c>
      <c r="L31" s="2">
        <v>17036</v>
      </c>
      <c r="N31" t="s">
        <v>1010</v>
      </c>
      <c r="O31" t="s">
        <v>971</v>
      </c>
      <c r="P31" t="s">
        <v>982</v>
      </c>
      <c r="Q31" t="s">
        <v>969</v>
      </c>
    </row>
    <row r="32" spans="1:18" x14ac:dyDescent="0.25">
      <c r="A32" s="1">
        <v>42064</v>
      </c>
      <c r="B32" t="s">
        <v>168</v>
      </c>
      <c r="C32" t="s">
        <v>58</v>
      </c>
      <c r="D32" t="s">
        <v>103</v>
      </c>
      <c r="E32" t="s">
        <v>62</v>
      </c>
      <c r="F32" t="s">
        <v>43</v>
      </c>
      <c r="G32" t="s">
        <v>18</v>
      </c>
      <c r="H32">
        <v>2</v>
      </c>
      <c r="I32">
        <v>0</v>
      </c>
      <c r="J32" t="s">
        <v>49</v>
      </c>
      <c r="K32">
        <v>47</v>
      </c>
      <c r="L32" s="2">
        <v>47007</v>
      </c>
      <c r="N32" t="s">
        <v>971</v>
      </c>
      <c r="O32" t="s">
        <v>971</v>
      </c>
      <c r="P32" t="s">
        <v>988</v>
      </c>
      <c r="Q32" t="s">
        <v>969</v>
      </c>
    </row>
    <row r="33" spans="1:17" x14ac:dyDescent="0.25">
      <c r="A33" s="1">
        <v>42071</v>
      </c>
      <c r="B33" t="s">
        <v>198</v>
      </c>
      <c r="C33" t="s">
        <v>58</v>
      </c>
      <c r="D33" t="s">
        <v>104</v>
      </c>
      <c r="E33" t="s">
        <v>62</v>
      </c>
      <c r="F33" t="s">
        <v>44</v>
      </c>
      <c r="G33" t="s">
        <v>4</v>
      </c>
      <c r="H33">
        <v>1</v>
      </c>
      <c r="I33">
        <v>1</v>
      </c>
      <c r="J33" t="s">
        <v>65</v>
      </c>
      <c r="K33">
        <v>54</v>
      </c>
      <c r="L33" s="2">
        <v>51180</v>
      </c>
      <c r="N33" s="1">
        <v>37714</v>
      </c>
      <c r="O33" s="1">
        <v>37350</v>
      </c>
      <c r="P33" t="s">
        <v>977</v>
      </c>
      <c r="Q33" t="s">
        <v>969</v>
      </c>
    </row>
    <row r="34" spans="1:17" x14ac:dyDescent="0.25">
      <c r="A34" s="1">
        <v>42076</v>
      </c>
      <c r="B34" t="s">
        <v>180</v>
      </c>
      <c r="C34" t="s">
        <v>58</v>
      </c>
      <c r="D34" t="s">
        <v>105</v>
      </c>
      <c r="E34" t="s">
        <v>60</v>
      </c>
      <c r="F34" t="s">
        <v>43</v>
      </c>
      <c r="G34" t="s">
        <v>18</v>
      </c>
      <c r="H34">
        <v>2</v>
      </c>
      <c r="I34">
        <v>0</v>
      </c>
      <c r="J34" t="s">
        <v>95</v>
      </c>
      <c r="K34">
        <v>53</v>
      </c>
      <c r="L34" s="2">
        <v>40247</v>
      </c>
      <c r="N34" s="1">
        <v>37714</v>
      </c>
      <c r="O34" t="s">
        <v>971</v>
      </c>
      <c r="P34" t="s">
        <v>991</v>
      </c>
      <c r="Q34" t="s">
        <v>969</v>
      </c>
    </row>
    <row r="35" spans="1:17" x14ac:dyDescent="0.25">
      <c r="A35" s="1">
        <v>42083</v>
      </c>
      <c r="B35" t="s">
        <v>180</v>
      </c>
      <c r="C35" t="s">
        <v>58</v>
      </c>
      <c r="D35" t="s">
        <v>106</v>
      </c>
      <c r="E35" t="s">
        <v>60</v>
      </c>
      <c r="F35" t="s">
        <v>44</v>
      </c>
      <c r="G35" t="s">
        <v>18</v>
      </c>
      <c r="H35">
        <v>4</v>
      </c>
      <c r="I35">
        <v>0</v>
      </c>
      <c r="J35" t="s">
        <v>123</v>
      </c>
      <c r="K35">
        <v>50</v>
      </c>
      <c r="L35" s="2">
        <v>26510</v>
      </c>
      <c r="N35" s="1">
        <v>37714</v>
      </c>
      <c r="O35" t="s">
        <v>971</v>
      </c>
      <c r="P35" t="s">
        <v>978</v>
      </c>
      <c r="Q35" t="s">
        <v>969</v>
      </c>
    </row>
    <row r="36" spans="1:17" x14ac:dyDescent="0.25">
      <c r="A36" s="1">
        <v>42099</v>
      </c>
      <c r="B36" t="s">
        <v>244</v>
      </c>
      <c r="C36" t="s">
        <v>58</v>
      </c>
      <c r="D36" t="s">
        <v>107</v>
      </c>
      <c r="E36" t="s">
        <v>62</v>
      </c>
      <c r="F36" t="s">
        <v>43</v>
      </c>
      <c r="G36" t="s">
        <v>4</v>
      </c>
      <c r="H36">
        <v>0</v>
      </c>
      <c r="I36">
        <v>0</v>
      </c>
      <c r="J36" t="s">
        <v>10</v>
      </c>
      <c r="K36">
        <v>51</v>
      </c>
      <c r="L36" s="2">
        <v>41830</v>
      </c>
      <c r="N36" s="1">
        <v>37714</v>
      </c>
      <c r="O36" s="1">
        <v>37350</v>
      </c>
      <c r="P36" t="s">
        <v>989</v>
      </c>
      <c r="Q36" t="s">
        <v>969</v>
      </c>
    </row>
    <row r="37" spans="1:17" x14ac:dyDescent="0.25">
      <c r="A37" s="1">
        <v>42103</v>
      </c>
      <c r="B37" t="s">
        <v>155</v>
      </c>
      <c r="C37" t="s">
        <v>58</v>
      </c>
      <c r="D37" t="s">
        <v>108</v>
      </c>
      <c r="E37" t="s">
        <v>85</v>
      </c>
      <c r="F37" t="s">
        <v>44</v>
      </c>
      <c r="G37" t="s">
        <v>4</v>
      </c>
      <c r="H37">
        <v>1</v>
      </c>
      <c r="I37">
        <v>1</v>
      </c>
      <c r="J37" t="s">
        <v>73</v>
      </c>
      <c r="K37">
        <v>44</v>
      </c>
      <c r="L37" s="2">
        <v>43034</v>
      </c>
      <c r="N37" t="s">
        <v>971</v>
      </c>
      <c r="O37" t="s">
        <v>971</v>
      </c>
      <c r="P37" t="s">
        <v>1305</v>
      </c>
      <c r="Q37" t="s">
        <v>969</v>
      </c>
    </row>
    <row r="38" spans="1:17" x14ac:dyDescent="0.25">
      <c r="A38" s="1">
        <v>42107</v>
      </c>
      <c r="B38" t="s">
        <v>158</v>
      </c>
      <c r="C38" t="s">
        <v>58</v>
      </c>
      <c r="D38" t="s">
        <v>109</v>
      </c>
      <c r="E38" t="s">
        <v>117</v>
      </c>
      <c r="F38" t="s">
        <v>43</v>
      </c>
      <c r="G38" t="s">
        <v>18</v>
      </c>
      <c r="H38">
        <v>3</v>
      </c>
      <c r="I38">
        <v>0</v>
      </c>
      <c r="J38" t="s">
        <v>67</v>
      </c>
      <c r="K38">
        <v>51</v>
      </c>
      <c r="L38" s="2">
        <v>41935</v>
      </c>
      <c r="N38" t="s">
        <v>1010</v>
      </c>
      <c r="O38" s="1">
        <v>37350</v>
      </c>
      <c r="P38" t="s">
        <v>987</v>
      </c>
      <c r="Q38" t="s">
        <v>969</v>
      </c>
    </row>
    <row r="39" spans="1:17" x14ac:dyDescent="0.25">
      <c r="A39" s="1">
        <v>42112</v>
      </c>
      <c r="B39" t="s">
        <v>228</v>
      </c>
      <c r="C39" t="s">
        <v>58</v>
      </c>
      <c r="D39" t="s">
        <v>110</v>
      </c>
      <c r="E39" t="s">
        <v>64</v>
      </c>
      <c r="F39" t="s">
        <v>44</v>
      </c>
      <c r="G39" t="s">
        <v>19</v>
      </c>
      <c r="H39">
        <v>0</v>
      </c>
      <c r="I39">
        <v>2</v>
      </c>
      <c r="J39" t="s">
        <v>13</v>
      </c>
      <c r="K39">
        <v>41</v>
      </c>
      <c r="L39" s="2">
        <v>92915</v>
      </c>
      <c r="N39" s="1">
        <v>37714</v>
      </c>
      <c r="O39" s="1">
        <v>37714</v>
      </c>
      <c r="P39" t="s">
        <v>975</v>
      </c>
      <c r="Q39" t="s">
        <v>969</v>
      </c>
    </row>
    <row r="40" spans="1:17" x14ac:dyDescent="0.25">
      <c r="A40" s="1">
        <v>42121</v>
      </c>
      <c r="B40" t="s">
        <v>156</v>
      </c>
      <c r="C40" t="s">
        <v>58</v>
      </c>
      <c r="D40" t="s">
        <v>111</v>
      </c>
      <c r="E40" t="s">
        <v>117</v>
      </c>
      <c r="F40" t="s">
        <v>43</v>
      </c>
      <c r="G40" t="s">
        <v>18</v>
      </c>
      <c r="H40">
        <v>4</v>
      </c>
      <c r="I40">
        <v>0</v>
      </c>
      <c r="J40" t="s">
        <v>14</v>
      </c>
      <c r="K40">
        <v>57</v>
      </c>
      <c r="L40" s="2">
        <v>36763</v>
      </c>
      <c r="N40" s="1">
        <v>37714</v>
      </c>
      <c r="O40" s="1">
        <v>37350</v>
      </c>
      <c r="P40" t="s">
        <v>982</v>
      </c>
      <c r="Q40" t="s">
        <v>969</v>
      </c>
    </row>
    <row r="41" spans="1:17" x14ac:dyDescent="0.25">
      <c r="A41" s="1">
        <v>42124</v>
      </c>
      <c r="B41" t="s">
        <v>155</v>
      </c>
      <c r="C41" t="s">
        <v>58</v>
      </c>
      <c r="D41" t="s">
        <v>112</v>
      </c>
      <c r="E41" t="s">
        <v>85</v>
      </c>
      <c r="F41" t="s">
        <v>44</v>
      </c>
      <c r="G41" t="s">
        <v>4</v>
      </c>
      <c r="H41">
        <v>1</v>
      </c>
      <c r="I41">
        <v>1</v>
      </c>
      <c r="J41" t="s">
        <v>46</v>
      </c>
      <c r="K41">
        <v>53</v>
      </c>
      <c r="L41" s="2">
        <v>10055</v>
      </c>
      <c r="N41" s="1">
        <v>37714</v>
      </c>
      <c r="O41" t="s">
        <v>971</v>
      </c>
      <c r="P41" t="s">
        <v>972</v>
      </c>
      <c r="Q41" t="s">
        <v>969</v>
      </c>
    </row>
    <row r="42" spans="1:17" x14ac:dyDescent="0.25">
      <c r="A42" s="1">
        <v>42127</v>
      </c>
      <c r="B42" t="s">
        <v>162</v>
      </c>
      <c r="C42" t="s">
        <v>58</v>
      </c>
      <c r="D42" t="s">
        <v>113</v>
      </c>
      <c r="E42" t="s">
        <v>62</v>
      </c>
      <c r="F42" t="s">
        <v>43</v>
      </c>
      <c r="G42" t="s">
        <v>18</v>
      </c>
      <c r="H42">
        <v>3</v>
      </c>
      <c r="I42">
        <v>1</v>
      </c>
      <c r="J42" t="s">
        <v>89</v>
      </c>
      <c r="K42">
        <v>65</v>
      </c>
      <c r="L42" s="2">
        <v>39320</v>
      </c>
      <c r="N42" s="1">
        <v>37714</v>
      </c>
      <c r="O42" t="s">
        <v>971</v>
      </c>
      <c r="P42" t="s">
        <v>988</v>
      </c>
      <c r="Q42" t="s">
        <v>969</v>
      </c>
    </row>
    <row r="43" spans="1:17" x14ac:dyDescent="0.25">
      <c r="A43" s="1">
        <v>42133</v>
      </c>
      <c r="B43" t="s">
        <v>155</v>
      </c>
      <c r="C43" t="s">
        <v>58</v>
      </c>
      <c r="D43" t="s">
        <v>114</v>
      </c>
      <c r="E43" t="s">
        <v>64</v>
      </c>
      <c r="F43" t="s">
        <v>44</v>
      </c>
      <c r="G43" t="s">
        <v>4</v>
      </c>
      <c r="H43">
        <v>2</v>
      </c>
      <c r="I43">
        <v>2</v>
      </c>
      <c r="J43" t="s">
        <v>8</v>
      </c>
      <c r="K43">
        <v>39</v>
      </c>
      <c r="L43" s="2">
        <v>79897</v>
      </c>
      <c r="N43" s="1">
        <v>37714</v>
      </c>
      <c r="O43" s="1">
        <v>37714</v>
      </c>
      <c r="P43" t="s">
        <v>1005</v>
      </c>
      <c r="Q43" t="s">
        <v>969</v>
      </c>
    </row>
    <row r="44" spans="1:17" x14ac:dyDescent="0.25">
      <c r="A44" s="1">
        <v>42141</v>
      </c>
      <c r="B44" t="s">
        <v>162</v>
      </c>
      <c r="C44" t="s">
        <v>58</v>
      </c>
      <c r="D44" t="s">
        <v>115</v>
      </c>
      <c r="E44" t="s">
        <v>62</v>
      </c>
      <c r="F44" t="s">
        <v>43</v>
      </c>
      <c r="G44" t="s">
        <v>4</v>
      </c>
      <c r="H44">
        <v>1</v>
      </c>
      <c r="I44">
        <v>1</v>
      </c>
      <c r="J44" t="s">
        <v>50</v>
      </c>
      <c r="K44">
        <v>59</v>
      </c>
      <c r="L44" s="2">
        <v>44498</v>
      </c>
      <c r="N44" s="1">
        <v>37714</v>
      </c>
      <c r="O44" t="s">
        <v>971</v>
      </c>
      <c r="P44" t="s">
        <v>976</v>
      </c>
      <c r="Q44" t="s">
        <v>969</v>
      </c>
    </row>
    <row r="45" spans="1:17" x14ac:dyDescent="0.25">
      <c r="A45" s="1">
        <v>42147</v>
      </c>
      <c r="B45" t="s">
        <v>157</v>
      </c>
      <c r="C45" t="s">
        <v>58</v>
      </c>
      <c r="D45" t="s">
        <v>116</v>
      </c>
      <c r="E45" t="s">
        <v>64</v>
      </c>
      <c r="F45" t="s">
        <v>44</v>
      </c>
      <c r="G45" t="s">
        <v>18</v>
      </c>
      <c r="H45">
        <v>3</v>
      </c>
      <c r="I45">
        <v>2</v>
      </c>
      <c r="J45" t="s">
        <v>128</v>
      </c>
      <c r="K45">
        <v>49</v>
      </c>
      <c r="L45" s="2">
        <v>11137</v>
      </c>
      <c r="N45" s="1">
        <v>37714</v>
      </c>
      <c r="O45" t="s">
        <v>971</v>
      </c>
      <c r="P45" t="s">
        <v>974</v>
      </c>
      <c r="Q45" t="s">
        <v>969</v>
      </c>
    </row>
    <row r="48" spans="1:17" x14ac:dyDescent="0.25">
      <c r="K48" s="58">
        <f>AVERAGE(K3:K45)</f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AFF7-C2AD-4A0C-9A19-16F8309E309B}">
  <dimension ref="A2:R65"/>
  <sheetViews>
    <sheetView topLeftCell="B1" workbookViewId="0">
      <selection activeCell="K66" sqref="K66"/>
    </sheetView>
  </sheetViews>
  <sheetFormatPr defaultRowHeight="15" x14ac:dyDescent="0.25"/>
  <cols>
    <col min="11" max="11" width="8.85546875" style="57"/>
  </cols>
  <sheetData>
    <row r="2" spans="1:18" x14ac:dyDescent="0.25">
      <c r="A2" t="s">
        <v>0</v>
      </c>
      <c r="B2" t="s">
        <v>1</v>
      </c>
      <c r="C2" t="s">
        <v>16</v>
      </c>
      <c r="D2" t="s">
        <v>51</v>
      </c>
      <c r="E2" t="s">
        <v>52</v>
      </c>
      <c r="F2" t="s">
        <v>53</v>
      </c>
      <c r="G2" t="s">
        <v>54</v>
      </c>
      <c r="H2" t="s">
        <v>20</v>
      </c>
      <c r="I2" t="s">
        <v>21</v>
      </c>
      <c r="J2" t="s">
        <v>45</v>
      </c>
      <c r="K2" s="57" t="s">
        <v>57</v>
      </c>
      <c r="L2" t="s">
        <v>24</v>
      </c>
      <c r="M2" t="s">
        <v>965</v>
      </c>
      <c r="N2" t="s">
        <v>966</v>
      </c>
      <c r="O2" t="s">
        <v>967</v>
      </c>
      <c r="P2" t="s">
        <v>968</v>
      </c>
      <c r="Q2" t="s">
        <v>969</v>
      </c>
      <c r="R2" t="s">
        <v>27</v>
      </c>
    </row>
    <row r="3" spans="1:18" x14ac:dyDescent="0.25">
      <c r="A3" s="1">
        <v>42235</v>
      </c>
      <c r="B3" t="s">
        <v>156</v>
      </c>
      <c r="C3" t="s">
        <v>118</v>
      </c>
      <c r="D3" t="s">
        <v>172</v>
      </c>
      <c r="E3" t="s">
        <v>92</v>
      </c>
      <c r="F3" t="s">
        <v>43</v>
      </c>
      <c r="G3" t="s">
        <v>18</v>
      </c>
      <c r="H3">
        <v>3</v>
      </c>
      <c r="I3">
        <v>1</v>
      </c>
      <c r="J3" t="s">
        <v>998</v>
      </c>
      <c r="K3" s="57">
        <v>51</v>
      </c>
      <c r="L3" s="2">
        <v>45633</v>
      </c>
      <c r="M3" t="s">
        <v>973</v>
      </c>
      <c r="N3" s="1">
        <v>37714</v>
      </c>
      <c r="O3" t="s">
        <v>971</v>
      </c>
      <c r="P3" t="s">
        <v>999</v>
      </c>
      <c r="Q3" t="s">
        <v>969</v>
      </c>
      <c r="R3" t="s">
        <v>986</v>
      </c>
    </row>
    <row r="4" spans="1:18" x14ac:dyDescent="0.25">
      <c r="A4" s="1">
        <v>42238</v>
      </c>
      <c r="B4" t="s">
        <v>179</v>
      </c>
      <c r="C4" t="s">
        <v>58</v>
      </c>
      <c r="D4" t="s">
        <v>59</v>
      </c>
      <c r="E4" t="s">
        <v>64</v>
      </c>
      <c r="F4" t="s">
        <v>44</v>
      </c>
      <c r="G4" t="s">
        <v>4</v>
      </c>
      <c r="H4">
        <v>0</v>
      </c>
      <c r="I4">
        <v>0</v>
      </c>
      <c r="J4" t="s">
        <v>46</v>
      </c>
      <c r="K4" s="57">
        <v>47</v>
      </c>
      <c r="L4" s="2">
        <v>9608</v>
      </c>
      <c r="M4" t="s">
        <v>1000</v>
      </c>
      <c r="N4" s="1">
        <v>37714</v>
      </c>
      <c r="O4" s="1">
        <v>37350</v>
      </c>
      <c r="P4" t="s">
        <v>982</v>
      </c>
      <c r="Q4" t="s">
        <v>969</v>
      </c>
    </row>
    <row r="5" spans="1:18" x14ac:dyDescent="0.25">
      <c r="A5" s="1">
        <v>42241</v>
      </c>
      <c r="B5" t="s">
        <v>156</v>
      </c>
      <c r="C5" t="s">
        <v>118</v>
      </c>
      <c r="D5" t="s">
        <v>172</v>
      </c>
      <c r="E5" t="s">
        <v>69</v>
      </c>
      <c r="F5" t="s">
        <v>44</v>
      </c>
      <c r="G5" t="s">
        <v>19</v>
      </c>
      <c r="H5">
        <v>1</v>
      </c>
      <c r="I5">
        <v>2</v>
      </c>
      <c r="J5" t="s">
        <v>998</v>
      </c>
      <c r="K5" s="57">
        <v>50</v>
      </c>
      <c r="L5" s="2">
        <v>13165</v>
      </c>
      <c r="M5" t="s">
        <v>973</v>
      </c>
      <c r="N5" s="1">
        <v>37714</v>
      </c>
      <c r="O5" s="1">
        <v>37714</v>
      </c>
      <c r="P5" t="s">
        <v>1001</v>
      </c>
      <c r="Q5" t="s">
        <v>969</v>
      </c>
      <c r="R5" t="s">
        <v>990</v>
      </c>
    </row>
    <row r="6" spans="1:18" x14ac:dyDescent="0.25">
      <c r="A6" s="1">
        <v>42246</v>
      </c>
      <c r="B6" t="s">
        <v>158</v>
      </c>
      <c r="C6" t="s">
        <v>58</v>
      </c>
      <c r="D6" t="s">
        <v>61</v>
      </c>
      <c r="E6" t="s">
        <v>62</v>
      </c>
      <c r="F6" t="s">
        <v>43</v>
      </c>
      <c r="G6" t="s">
        <v>4</v>
      </c>
      <c r="H6">
        <v>1</v>
      </c>
      <c r="I6">
        <v>1</v>
      </c>
      <c r="J6" t="s">
        <v>95</v>
      </c>
      <c r="K6" s="57">
        <v>54</v>
      </c>
      <c r="L6" s="2">
        <v>42000</v>
      </c>
      <c r="M6" t="s">
        <v>1000</v>
      </c>
      <c r="N6" s="1">
        <v>37714</v>
      </c>
      <c r="O6" t="s">
        <v>971</v>
      </c>
      <c r="P6" t="s">
        <v>975</v>
      </c>
      <c r="Q6" t="s">
        <v>969</v>
      </c>
    </row>
    <row r="7" spans="1:18" x14ac:dyDescent="0.25">
      <c r="A7" s="1">
        <v>42259</v>
      </c>
      <c r="B7" t="s">
        <v>296</v>
      </c>
      <c r="C7" t="s">
        <v>58</v>
      </c>
      <c r="D7" t="s">
        <v>63</v>
      </c>
      <c r="E7" t="s">
        <v>64</v>
      </c>
      <c r="F7" t="s">
        <v>44</v>
      </c>
      <c r="G7" t="s">
        <v>18</v>
      </c>
      <c r="H7">
        <v>1</v>
      </c>
      <c r="I7">
        <v>0</v>
      </c>
      <c r="J7" t="s">
        <v>980</v>
      </c>
      <c r="K7" s="57">
        <v>60</v>
      </c>
      <c r="L7" s="2">
        <v>23206</v>
      </c>
      <c r="M7" t="s">
        <v>973</v>
      </c>
      <c r="N7" s="1">
        <v>37714</v>
      </c>
      <c r="O7" s="1">
        <v>37350</v>
      </c>
      <c r="P7" t="s">
        <v>985</v>
      </c>
      <c r="Q7" t="s">
        <v>969</v>
      </c>
    </row>
    <row r="8" spans="1:18" x14ac:dyDescent="0.25">
      <c r="A8" s="1">
        <v>42263</v>
      </c>
      <c r="B8" t="s">
        <v>156</v>
      </c>
      <c r="C8" t="s">
        <v>118</v>
      </c>
      <c r="D8" t="s">
        <v>119</v>
      </c>
      <c r="E8" t="s">
        <v>92</v>
      </c>
      <c r="F8" t="s">
        <v>43</v>
      </c>
      <c r="G8" t="s">
        <v>19</v>
      </c>
      <c r="H8">
        <v>2</v>
      </c>
      <c r="I8">
        <v>3</v>
      </c>
      <c r="J8" t="s">
        <v>1002</v>
      </c>
      <c r="K8" s="57">
        <v>62</v>
      </c>
      <c r="L8" s="2">
        <v>28005</v>
      </c>
      <c r="M8" t="s">
        <v>973</v>
      </c>
      <c r="N8" s="1">
        <v>37714</v>
      </c>
      <c r="O8" s="1">
        <v>37379</v>
      </c>
      <c r="P8" t="s">
        <v>1003</v>
      </c>
      <c r="Q8" t="s">
        <v>969</v>
      </c>
    </row>
    <row r="9" spans="1:18" x14ac:dyDescent="0.25">
      <c r="A9" s="1">
        <v>42266</v>
      </c>
      <c r="B9" t="s">
        <v>296</v>
      </c>
      <c r="C9" t="s">
        <v>58</v>
      </c>
      <c r="D9" t="s">
        <v>66</v>
      </c>
      <c r="E9" t="s">
        <v>64</v>
      </c>
      <c r="F9" t="s">
        <v>43</v>
      </c>
      <c r="G9" t="s">
        <v>4</v>
      </c>
      <c r="H9">
        <v>0</v>
      </c>
      <c r="I9">
        <v>0</v>
      </c>
      <c r="J9" t="s">
        <v>11</v>
      </c>
      <c r="K9" s="57">
        <v>65</v>
      </c>
      <c r="L9" s="2">
        <v>40560</v>
      </c>
      <c r="M9" t="s">
        <v>973</v>
      </c>
      <c r="N9" s="1">
        <v>37714</v>
      </c>
      <c r="O9" s="1">
        <v>37350</v>
      </c>
      <c r="P9" t="s">
        <v>1004</v>
      </c>
      <c r="Q9" t="s">
        <v>969</v>
      </c>
    </row>
    <row r="10" spans="1:18" x14ac:dyDescent="0.25">
      <c r="A10" s="1">
        <v>42269</v>
      </c>
      <c r="B10" t="s">
        <v>155</v>
      </c>
      <c r="C10" t="s">
        <v>58</v>
      </c>
      <c r="D10" t="s">
        <v>68</v>
      </c>
      <c r="E10" t="s">
        <v>69</v>
      </c>
      <c r="F10" t="s">
        <v>44</v>
      </c>
      <c r="G10" t="s">
        <v>19</v>
      </c>
      <c r="H10">
        <v>0</v>
      </c>
      <c r="I10">
        <v>1</v>
      </c>
      <c r="J10" t="s">
        <v>48</v>
      </c>
      <c r="K10" s="57">
        <v>52</v>
      </c>
      <c r="L10" s="2">
        <v>18231</v>
      </c>
      <c r="M10" t="s">
        <v>1000</v>
      </c>
      <c r="N10" s="1">
        <v>37714</v>
      </c>
      <c r="O10" t="s">
        <v>971</v>
      </c>
      <c r="P10" t="s">
        <v>987</v>
      </c>
      <c r="Q10" t="s">
        <v>969</v>
      </c>
    </row>
    <row r="11" spans="1:18" x14ac:dyDescent="0.25">
      <c r="A11" s="1">
        <v>42272</v>
      </c>
      <c r="B11" t="s">
        <v>158</v>
      </c>
      <c r="C11" t="s">
        <v>58</v>
      </c>
      <c r="D11" t="s">
        <v>71</v>
      </c>
      <c r="E11" t="s">
        <v>60</v>
      </c>
      <c r="F11" t="s">
        <v>43</v>
      </c>
      <c r="G11" t="s">
        <v>18</v>
      </c>
      <c r="H11">
        <v>1</v>
      </c>
      <c r="I11">
        <v>0</v>
      </c>
      <c r="J11" t="s">
        <v>14</v>
      </c>
      <c r="K11" s="57">
        <v>48</v>
      </c>
      <c r="L11" s="2">
        <v>41124</v>
      </c>
      <c r="M11" t="s">
        <v>973</v>
      </c>
      <c r="N11" s="1">
        <v>37350</v>
      </c>
      <c r="O11" t="s">
        <v>971</v>
      </c>
      <c r="P11" t="s">
        <v>1005</v>
      </c>
      <c r="Q11" t="s">
        <v>969</v>
      </c>
    </row>
    <row r="12" spans="1:18" x14ac:dyDescent="0.25">
      <c r="A12" s="1">
        <v>42276</v>
      </c>
      <c r="B12" t="s">
        <v>156</v>
      </c>
      <c r="C12" t="s">
        <v>118</v>
      </c>
      <c r="D12" t="s">
        <v>119</v>
      </c>
      <c r="E12" t="s">
        <v>69</v>
      </c>
      <c r="F12" t="s">
        <v>44</v>
      </c>
      <c r="G12" t="s">
        <v>18</v>
      </c>
      <c r="H12">
        <v>1</v>
      </c>
      <c r="I12">
        <v>0</v>
      </c>
      <c r="J12" t="s">
        <v>1006</v>
      </c>
      <c r="K12" s="57">
        <v>44</v>
      </c>
      <c r="L12" s="2">
        <v>33534</v>
      </c>
      <c r="M12" t="s">
        <v>973</v>
      </c>
      <c r="N12" s="1">
        <v>37714</v>
      </c>
      <c r="O12" t="s">
        <v>1007</v>
      </c>
      <c r="P12" t="s">
        <v>1008</v>
      </c>
      <c r="Q12" t="s">
        <v>969</v>
      </c>
    </row>
    <row r="13" spans="1:18" x14ac:dyDescent="0.25">
      <c r="A13" s="1">
        <v>42281</v>
      </c>
      <c r="B13" t="s">
        <v>228</v>
      </c>
      <c r="C13" t="s">
        <v>58</v>
      </c>
      <c r="D13" t="s">
        <v>72</v>
      </c>
      <c r="E13" t="s">
        <v>62</v>
      </c>
      <c r="F13" t="s">
        <v>44</v>
      </c>
      <c r="G13" t="s">
        <v>19</v>
      </c>
      <c r="H13">
        <v>1</v>
      </c>
      <c r="I13">
        <v>3</v>
      </c>
      <c r="J13" t="s">
        <v>73</v>
      </c>
      <c r="K13" s="57">
        <v>50</v>
      </c>
      <c r="L13" s="2">
        <v>41412</v>
      </c>
      <c r="M13" t="s">
        <v>973</v>
      </c>
      <c r="N13" t="s">
        <v>971</v>
      </c>
      <c r="O13" t="s">
        <v>971</v>
      </c>
      <c r="P13" t="s">
        <v>988</v>
      </c>
      <c r="Q13" t="s">
        <v>969</v>
      </c>
    </row>
    <row r="14" spans="1:18" x14ac:dyDescent="0.25">
      <c r="A14" s="1">
        <v>42294</v>
      </c>
      <c r="B14" t="s">
        <v>176</v>
      </c>
      <c r="C14" t="s">
        <v>58</v>
      </c>
      <c r="D14" t="s">
        <v>74</v>
      </c>
      <c r="E14" t="s">
        <v>64</v>
      </c>
      <c r="F14" t="s">
        <v>43</v>
      </c>
      <c r="G14" t="s">
        <v>18</v>
      </c>
      <c r="H14">
        <v>3</v>
      </c>
      <c r="I14">
        <v>0</v>
      </c>
      <c r="J14" t="s">
        <v>70</v>
      </c>
      <c r="K14" s="57">
        <v>50</v>
      </c>
      <c r="L14" s="2">
        <v>35756</v>
      </c>
      <c r="M14" t="s">
        <v>973</v>
      </c>
      <c r="N14" s="1">
        <v>37714</v>
      </c>
      <c r="O14" t="s">
        <v>971</v>
      </c>
      <c r="P14" t="s">
        <v>974</v>
      </c>
      <c r="Q14" t="s">
        <v>969</v>
      </c>
    </row>
    <row r="15" spans="1:18" x14ac:dyDescent="0.25">
      <c r="A15" s="1">
        <v>42297</v>
      </c>
      <c r="B15" t="s">
        <v>156</v>
      </c>
      <c r="C15" t="s">
        <v>118</v>
      </c>
      <c r="D15" t="s">
        <v>119</v>
      </c>
      <c r="E15" t="s">
        <v>69</v>
      </c>
      <c r="F15" t="s">
        <v>43</v>
      </c>
      <c r="G15" t="s">
        <v>18</v>
      </c>
      <c r="H15">
        <v>2</v>
      </c>
      <c r="I15">
        <v>1</v>
      </c>
      <c r="J15" t="s">
        <v>1009</v>
      </c>
      <c r="K15" s="57">
        <v>49</v>
      </c>
      <c r="L15" s="2">
        <v>38207</v>
      </c>
      <c r="M15" t="s">
        <v>973</v>
      </c>
      <c r="N15" t="s">
        <v>1010</v>
      </c>
      <c r="O15" t="s">
        <v>971</v>
      </c>
      <c r="P15" t="s">
        <v>1011</v>
      </c>
      <c r="Q15" t="s">
        <v>969</v>
      </c>
    </row>
    <row r="16" spans="1:18" x14ac:dyDescent="0.25">
      <c r="A16" s="1">
        <v>42302</v>
      </c>
      <c r="B16" t="s">
        <v>396</v>
      </c>
      <c r="C16" t="s">
        <v>58</v>
      </c>
      <c r="D16" t="s">
        <v>75</v>
      </c>
      <c r="E16" t="s">
        <v>62</v>
      </c>
      <c r="F16" t="s">
        <v>44</v>
      </c>
      <c r="G16" t="s">
        <v>19</v>
      </c>
      <c r="H16">
        <v>1</v>
      </c>
      <c r="I16">
        <v>2</v>
      </c>
      <c r="J16" t="s">
        <v>65</v>
      </c>
      <c r="K16" s="57">
        <v>50</v>
      </c>
      <c r="L16" s="2">
        <v>47075</v>
      </c>
      <c r="M16" t="s">
        <v>973</v>
      </c>
      <c r="N16" s="1">
        <v>37714</v>
      </c>
      <c r="O16" s="1">
        <v>37350</v>
      </c>
      <c r="P16" t="s">
        <v>976</v>
      </c>
      <c r="Q16" t="s">
        <v>969</v>
      </c>
    </row>
    <row r="17" spans="1:18" x14ac:dyDescent="0.25">
      <c r="A17" s="1">
        <v>42308</v>
      </c>
      <c r="B17" t="s">
        <v>1012</v>
      </c>
      <c r="C17" t="s">
        <v>58</v>
      </c>
      <c r="D17" t="s">
        <v>79</v>
      </c>
      <c r="E17" t="s">
        <v>64</v>
      </c>
      <c r="F17" t="s">
        <v>43</v>
      </c>
      <c r="G17" t="s">
        <v>18</v>
      </c>
      <c r="H17">
        <v>3</v>
      </c>
      <c r="I17">
        <v>0</v>
      </c>
      <c r="J17" t="s">
        <v>67</v>
      </c>
      <c r="K17" s="57">
        <v>60</v>
      </c>
      <c r="L17" s="2">
        <v>39069</v>
      </c>
      <c r="M17" t="s">
        <v>1000</v>
      </c>
      <c r="N17" s="1">
        <v>37714</v>
      </c>
      <c r="O17" s="1">
        <v>37714</v>
      </c>
      <c r="P17" t="s">
        <v>995</v>
      </c>
      <c r="Q17" t="s">
        <v>969</v>
      </c>
    </row>
    <row r="18" spans="1:18" x14ac:dyDescent="0.25">
      <c r="A18" s="1">
        <v>42312</v>
      </c>
      <c r="B18" t="s">
        <v>156</v>
      </c>
      <c r="C18" t="s">
        <v>118</v>
      </c>
      <c r="D18" t="s">
        <v>119</v>
      </c>
      <c r="E18" t="s">
        <v>92</v>
      </c>
      <c r="F18" t="s">
        <v>44</v>
      </c>
      <c r="G18" t="s">
        <v>19</v>
      </c>
      <c r="H18">
        <v>0</v>
      </c>
      <c r="I18">
        <v>1</v>
      </c>
      <c r="J18" t="s">
        <v>1009</v>
      </c>
      <c r="K18" s="57">
        <v>49</v>
      </c>
      <c r="L18" s="2">
        <v>19452</v>
      </c>
      <c r="M18" t="s">
        <v>973</v>
      </c>
      <c r="N18" s="1">
        <v>37714</v>
      </c>
      <c r="O18" s="1">
        <v>37684</v>
      </c>
      <c r="P18" t="s">
        <v>1013</v>
      </c>
      <c r="Q18" t="s">
        <v>969</v>
      </c>
    </row>
    <row r="19" spans="1:18" x14ac:dyDescent="0.25">
      <c r="A19" s="1">
        <v>42315</v>
      </c>
      <c r="B19" t="s">
        <v>228</v>
      </c>
      <c r="C19" t="s">
        <v>58</v>
      </c>
      <c r="D19" t="s">
        <v>81</v>
      </c>
      <c r="E19" t="s">
        <v>64</v>
      </c>
      <c r="F19" t="s">
        <v>44</v>
      </c>
      <c r="G19" t="s">
        <v>18</v>
      </c>
      <c r="H19">
        <v>5</v>
      </c>
      <c r="I19">
        <v>1</v>
      </c>
      <c r="J19" t="s">
        <v>50</v>
      </c>
      <c r="K19" s="57">
        <v>40</v>
      </c>
      <c r="L19" s="2">
        <v>22131</v>
      </c>
      <c r="M19" t="s">
        <v>973</v>
      </c>
      <c r="N19" t="s">
        <v>1010</v>
      </c>
      <c r="O19" s="1">
        <v>37714</v>
      </c>
      <c r="P19" t="s">
        <v>972</v>
      </c>
      <c r="Q19" t="s">
        <v>969</v>
      </c>
    </row>
    <row r="20" spans="1:18" x14ac:dyDescent="0.25">
      <c r="A20" s="1">
        <v>42329</v>
      </c>
      <c r="B20" t="s">
        <v>176</v>
      </c>
      <c r="C20" t="s">
        <v>58</v>
      </c>
      <c r="D20" t="s">
        <v>83</v>
      </c>
      <c r="E20" t="s">
        <v>64</v>
      </c>
      <c r="F20" t="s">
        <v>43</v>
      </c>
      <c r="G20" t="s">
        <v>4</v>
      </c>
      <c r="H20">
        <v>1</v>
      </c>
      <c r="I20">
        <v>1</v>
      </c>
      <c r="J20" t="s">
        <v>6</v>
      </c>
      <c r="K20" s="57">
        <v>38</v>
      </c>
      <c r="L20" s="2">
        <v>32078</v>
      </c>
      <c r="M20" t="s">
        <v>973</v>
      </c>
      <c r="N20" s="1">
        <v>37714</v>
      </c>
      <c r="O20" t="s">
        <v>971</v>
      </c>
      <c r="P20" t="s">
        <v>1014</v>
      </c>
      <c r="Q20" t="s">
        <v>969</v>
      </c>
    </row>
    <row r="21" spans="1:18" x14ac:dyDescent="0.25">
      <c r="A21" s="1">
        <v>42332</v>
      </c>
      <c r="B21" t="s">
        <v>1015</v>
      </c>
      <c r="C21" t="s">
        <v>118</v>
      </c>
      <c r="D21" t="s">
        <v>119</v>
      </c>
      <c r="E21" t="s">
        <v>69</v>
      </c>
      <c r="F21" t="s">
        <v>44</v>
      </c>
      <c r="G21" t="s">
        <v>19</v>
      </c>
      <c r="H21">
        <v>0</v>
      </c>
      <c r="I21">
        <v>2</v>
      </c>
      <c r="J21" t="s">
        <v>1002</v>
      </c>
      <c r="K21" s="57">
        <v>52</v>
      </c>
      <c r="L21" s="2">
        <v>17002</v>
      </c>
      <c r="M21" t="s">
        <v>973</v>
      </c>
      <c r="N21" s="1">
        <v>37714</v>
      </c>
      <c r="O21" t="s">
        <v>971</v>
      </c>
      <c r="P21" t="s">
        <v>1016</v>
      </c>
      <c r="Q21" t="s">
        <v>969</v>
      </c>
    </row>
    <row r="22" spans="1:18" x14ac:dyDescent="0.25">
      <c r="A22" s="1">
        <v>42337</v>
      </c>
      <c r="B22" t="s">
        <v>158</v>
      </c>
      <c r="C22" t="s">
        <v>58</v>
      </c>
      <c r="D22" t="s">
        <v>84</v>
      </c>
      <c r="E22" t="s">
        <v>62</v>
      </c>
      <c r="F22" t="s">
        <v>44</v>
      </c>
      <c r="G22" t="s">
        <v>19</v>
      </c>
      <c r="H22">
        <v>0</v>
      </c>
      <c r="I22">
        <v>1</v>
      </c>
      <c r="J22" t="s">
        <v>2</v>
      </c>
      <c r="K22" s="57">
        <v>38</v>
      </c>
      <c r="L22" s="2">
        <v>34914</v>
      </c>
      <c r="M22" t="s">
        <v>973</v>
      </c>
      <c r="N22" s="1">
        <v>36986</v>
      </c>
      <c r="O22" t="s">
        <v>971</v>
      </c>
      <c r="P22" t="s">
        <v>1004</v>
      </c>
      <c r="Q22" t="s">
        <v>969</v>
      </c>
    </row>
    <row r="23" spans="1:18" x14ac:dyDescent="0.25">
      <c r="A23" t="s">
        <v>0</v>
      </c>
      <c r="B23" t="s">
        <v>1</v>
      </c>
      <c r="C23" t="s">
        <v>16</v>
      </c>
      <c r="D23" t="s">
        <v>51</v>
      </c>
      <c r="E23" t="s">
        <v>52</v>
      </c>
      <c r="F23" t="s">
        <v>53</v>
      </c>
      <c r="G23" t="s">
        <v>54</v>
      </c>
      <c r="H23" t="s">
        <v>20</v>
      </c>
      <c r="I23" t="s">
        <v>21</v>
      </c>
      <c r="J23" t="s">
        <v>45</v>
      </c>
      <c r="L23" t="s">
        <v>24</v>
      </c>
      <c r="M23" t="s">
        <v>965</v>
      </c>
      <c r="N23" t="s">
        <v>966</v>
      </c>
      <c r="O23" t="s">
        <v>967</v>
      </c>
      <c r="P23" t="s">
        <v>968</v>
      </c>
      <c r="Q23" t="s">
        <v>969</v>
      </c>
      <c r="R23" t="s">
        <v>27</v>
      </c>
    </row>
    <row r="24" spans="1:18" x14ac:dyDescent="0.25">
      <c r="A24" s="1">
        <v>42340</v>
      </c>
      <c r="B24" t="s">
        <v>181</v>
      </c>
      <c r="C24" t="s">
        <v>76</v>
      </c>
      <c r="D24" t="s">
        <v>77</v>
      </c>
      <c r="E24" t="s">
        <v>92</v>
      </c>
      <c r="F24" t="s">
        <v>44</v>
      </c>
      <c r="G24" t="s">
        <v>18</v>
      </c>
      <c r="H24">
        <v>3</v>
      </c>
      <c r="I24">
        <v>1</v>
      </c>
      <c r="J24" t="s">
        <v>1017</v>
      </c>
      <c r="L24" s="2">
        <v>5200</v>
      </c>
      <c r="P24" t="s">
        <v>1018</v>
      </c>
      <c r="Q24" t="s">
        <v>969</v>
      </c>
      <c r="R24" t="s">
        <v>986</v>
      </c>
    </row>
    <row r="25" spans="1:18" x14ac:dyDescent="0.25">
      <c r="A25" s="1">
        <v>42343</v>
      </c>
      <c r="B25" t="s">
        <v>158</v>
      </c>
      <c r="C25" t="s">
        <v>58</v>
      </c>
      <c r="D25" t="s">
        <v>86</v>
      </c>
      <c r="E25" t="s">
        <v>64</v>
      </c>
      <c r="F25" t="s">
        <v>43</v>
      </c>
      <c r="G25" t="s">
        <v>4</v>
      </c>
      <c r="H25">
        <v>1</v>
      </c>
      <c r="I25">
        <v>1</v>
      </c>
      <c r="J25" t="s">
        <v>13</v>
      </c>
      <c r="K25" s="57">
        <v>29</v>
      </c>
      <c r="L25" s="2">
        <v>46799</v>
      </c>
      <c r="M25" t="s">
        <v>973</v>
      </c>
      <c r="N25" s="1">
        <v>37714</v>
      </c>
      <c r="O25" s="1">
        <v>37714</v>
      </c>
      <c r="P25" t="s">
        <v>977</v>
      </c>
      <c r="Q25" t="s">
        <v>969</v>
      </c>
    </row>
    <row r="26" spans="1:18" x14ac:dyDescent="0.25">
      <c r="A26" s="1">
        <v>42347</v>
      </c>
      <c r="B26" t="s">
        <v>156</v>
      </c>
      <c r="C26" t="s">
        <v>118</v>
      </c>
      <c r="D26" t="s">
        <v>119</v>
      </c>
      <c r="E26" t="s">
        <v>92</v>
      </c>
      <c r="F26" t="s">
        <v>43</v>
      </c>
      <c r="G26" t="s">
        <v>19</v>
      </c>
      <c r="H26">
        <v>0</v>
      </c>
      <c r="I26">
        <v>2</v>
      </c>
      <c r="J26" t="s">
        <v>1006</v>
      </c>
      <c r="K26" s="57">
        <v>54</v>
      </c>
      <c r="L26" s="2">
        <v>32494</v>
      </c>
      <c r="M26" t="s">
        <v>973</v>
      </c>
      <c r="N26" s="1">
        <v>37714</v>
      </c>
      <c r="O26" s="1">
        <v>37714</v>
      </c>
      <c r="P26" t="s">
        <v>1019</v>
      </c>
      <c r="Q26" t="s">
        <v>969</v>
      </c>
    </row>
    <row r="27" spans="1:18" x14ac:dyDescent="0.25">
      <c r="A27" s="1">
        <v>42351</v>
      </c>
      <c r="B27" t="s">
        <v>228</v>
      </c>
      <c r="C27" t="s">
        <v>58</v>
      </c>
      <c r="D27" t="s">
        <v>87</v>
      </c>
      <c r="E27" t="s">
        <v>62</v>
      </c>
      <c r="F27" t="s">
        <v>44</v>
      </c>
      <c r="G27" t="s">
        <v>4</v>
      </c>
      <c r="H27">
        <v>1</v>
      </c>
      <c r="I27">
        <v>1</v>
      </c>
      <c r="J27" t="s">
        <v>89</v>
      </c>
      <c r="K27" s="57">
        <v>49</v>
      </c>
      <c r="L27" s="2">
        <v>5182</v>
      </c>
      <c r="M27" t="s">
        <v>1000</v>
      </c>
      <c r="N27" s="1">
        <v>37714</v>
      </c>
      <c r="O27" s="1">
        <v>37350</v>
      </c>
      <c r="P27" t="s">
        <v>975</v>
      </c>
      <c r="Q27" t="s">
        <v>969</v>
      </c>
    </row>
    <row r="28" spans="1:18" x14ac:dyDescent="0.25">
      <c r="A28" s="1">
        <v>42354</v>
      </c>
      <c r="B28" t="s">
        <v>181</v>
      </c>
      <c r="C28" t="s">
        <v>76</v>
      </c>
      <c r="D28" t="s">
        <v>77</v>
      </c>
      <c r="E28" t="s">
        <v>92</v>
      </c>
      <c r="F28" t="s">
        <v>43</v>
      </c>
      <c r="G28" t="s">
        <v>18</v>
      </c>
      <c r="H28">
        <v>2</v>
      </c>
      <c r="I28">
        <v>0</v>
      </c>
      <c r="J28" t="s">
        <v>1017</v>
      </c>
      <c r="L28" s="2">
        <v>15000</v>
      </c>
      <c r="P28" t="s">
        <v>989</v>
      </c>
      <c r="Q28" t="s">
        <v>969</v>
      </c>
      <c r="R28" t="s">
        <v>990</v>
      </c>
    </row>
    <row r="29" spans="1:18" x14ac:dyDescent="0.25">
      <c r="A29" s="1">
        <v>42357</v>
      </c>
      <c r="B29" t="s">
        <v>228</v>
      </c>
      <c r="C29" t="s">
        <v>58</v>
      </c>
      <c r="D29" t="s">
        <v>88</v>
      </c>
      <c r="E29" t="s">
        <v>64</v>
      </c>
      <c r="F29" t="s">
        <v>43</v>
      </c>
      <c r="G29" t="s">
        <v>4</v>
      </c>
      <c r="H29">
        <v>2</v>
      </c>
      <c r="I29">
        <v>2</v>
      </c>
      <c r="J29" t="s">
        <v>12</v>
      </c>
      <c r="K29" s="57">
        <v>61</v>
      </c>
      <c r="L29" s="2">
        <v>31598</v>
      </c>
      <c r="M29" t="s">
        <v>973</v>
      </c>
      <c r="N29" s="1">
        <v>37714</v>
      </c>
      <c r="O29" t="s">
        <v>971</v>
      </c>
      <c r="P29" t="s">
        <v>978</v>
      </c>
      <c r="Q29" t="s">
        <v>969</v>
      </c>
    </row>
    <row r="30" spans="1:18" x14ac:dyDescent="0.25">
      <c r="A30" s="1">
        <v>42369</v>
      </c>
      <c r="B30" t="s">
        <v>228</v>
      </c>
      <c r="C30" t="s">
        <v>58</v>
      </c>
      <c r="D30" t="s">
        <v>90</v>
      </c>
      <c r="E30" t="s">
        <v>85</v>
      </c>
      <c r="F30" t="s">
        <v>44</v>
      </c>
      <c r="G30" t="s">
        <v>19</v>
      </c>
      <c r="H30">
        <v>0</v>
      </c>
      <c r="I30">
        <v>1</v>
      </c>
      <c r="J30" t="s">
        <v>10</v>
      </c>
      <c r="K30" s="57">
        <v>48</v>
      </c>
      <c r="L30" s="2">
        <v>18526</v>
      </c>
      <c r="M30" t="s">
        <v>973</v>
      </c>
      <c r="N30" s="1">
        <v>37379</v>
      </c>
      <c r="O30" s="1">
        <v>37350</v>
      </c>
      <c r="P30" t="s">
        <v>991</v>
      </c>
      <c r="Q30" t="s">
        <v>969</v>
      </c>
    </row>
    <row r="31" spans="1:18" x14ac:dyDescent="0.25">
      <c r="A31" s="1">
        <v>42372</v>
      </c>
      <c r="B31" t="s">
        <v>158</v>
      </c>
      <c r="C31" t="s">
        <v>58</v>
      </c>
      <c r="D31" t="s">
        <v>93</v>
      </c>
      <c r="E31" t="s">
        <v>62</v>
      </c>
      <c r="F31" t="s">
        <v>43</v>
      </c>
      <c r="G31" t="s">
        <v>4</v>
      </c>
      <c r="H31">
        <v>2</v>
      </c>
      <c r="I31">
        <v>2</v>
      </c>
      <c r="J31" t="s">
        <v>8</v>
      </c>
      <c r="K31" s="57">
        <v>47</v>
      </c>
      <c r="L31" s="2">
        <v>47185</v>
      </c>
      <c r="M31" t="s">
        <v>973</v>
      </c>
      <c r="N31" s="1">
        <v>37714</v>
      </c>
      <c r="O31" s="1">
        <v>37714</v>
      </c>
      <c r="P31" t="s">
        <v>993</v>
      </c>
      <c r="Q31" t="s">
        <v>969</v>
      </c>
    </row>
    <row r="32" spans="1:18" x14ac:dyDescent="0.25">
      <c r="A32" s="1">
        <v>42375</v>
      </c>
      <c r="B32" t="s">
        <v>228</v>
      </c>
      <c r="C32" t="s">
        <v>76</v>
      </c>
      <c r="D32" t="s">
        <v>91</v>
      </c>
      <c r="E32" t="s">
        <v>92</v>
      </c>
      <c r="F32" t="s">
        <v>43</v>
      </c>
      <c r="G32" t="s">
        <v>18</v>
      </c>
      <c r="H32">
        <v>4</v>
      </c>
      <c r="I32">
        <v>0</v>
      </c>
      <c r="J32" t="s">
        <v>14</v>
      </c>
      <c r="L32" s="2">
        <v>15000</v>
      </c>
      <c r="P32" t="s">
        <v>976</v>
      </c>
      <c r="Q32" t="s">
        <v>969</v>
      </c>
      <c r="R32" t="s">
        <v>986</v>
      </c>
    </row>
    <row r="33" spans="1:18" x14ac:dyDescent="0.25">
      <c r="A33" s="1">
        <v>42379</v>
      </c>
      <c r="B33" t="s">
        <v>228</v>
      </c>
      <c r="C33" t="s">
        <v>58</v>
      </c>
      <c r="D33" t="s">
        <v>94</v>
      </c>
      <c r="E33" t="s">
        <v>62</v>
      </c>
      <c r="F33" t="s">
        <v>44</v>
      </c>
      <c r="G33" t="s">
        <v>19</v>
      </c>
      <c r="H33">
        <v>0</v>
      </c>
      <c r="I33">
        <v>2</v>
      </c>
      <c r="J33" t="s">
        <v>49</v>
      </c>
      <c r="K33" s="57">
        <v>50</v>
      </c>
      <c r="L33" s="2">
        <v>24217</v>
      </c>
      <c r="M33" t="s">
        <v>973</v>
      </c>
      <c r="N33" s="1">
        <v>37350</v>
      </c>
      <c r="O33" s="1">
        <v>37714</v>
      </c>
      <c r="P33" t="s">
        <v>974</v>
      </c>
      <c r="Q33" t="s">
        <v>969</v>
      </c>
    </row>
    <row r="34" spans="1:18" x14ac:dyDescent="0.25">
      <c r="A34" s="1">
        <v>42383</v>
      </c>
      <c r="B34" t="s">
        <v>155</v>
      </c>
      <c r="C34" t="s">
        <v>76</v>
      </c>
      <c r="D34" t="s">
        <v>91</v>
      </c>
      <c r="E34" t="s">
        <v>85</v>
      </c>
      <c r="F34" t="s">
        <v>44</v>
      </c>
      <c r="G34" t="s">
        <v>18</v>
      </c>
      <c r="H34">
        <v>3</v>
      </c>
      <c r="I34">
        <v>0</v>
      </c>
      <c r="J34" t="s">
        <v>14</v>
      </c>
      <c r="L34" s="2">
        <v>9416</v>
      </c>
      <c r="P34" t="s">
        <v>988</v>
      </c>
      <c r="Q34" t="s">
        <v>969</v>
      </c>
      <c r="R34" t="s">
        <v>990</v>
      </c>
    </row>
    <row r="35" spans="1:18" x14ac:dyDescent="0.25">
      <c r="A35" s="1">
        <v>42386</v>
      </c>
      <c r="B35" t="s">
        <v>168</v>
      </c>
      <c r="C35" t="s">
        <v>58</v>
      </c>
      <c r="D35" t="s">
        <v>97</v>
      </c>
      <c r="E35" t="s">
        <v>62</v>
      </c>
      <c r="F35" t="s">
        <v>43</v>
      </c>
      <c r="G35" t="s">
        <v>4</v>
      </c>
      <c r="H35">
        <v>2</v>
      </c>
      <c r="I35">
        <v>2</v>
      </c>
      <c r="J35" t="s">
        <v>46</v>
      </c>
      <c r="K35" s="57">
        <v>51</v>
      </c>
      <c r="L35" s="2">
        <v>35042</v>
      </c>
      <c r="M35" t="s">
        <v>973</v>
      </c>
      <c r="N35" t="s">
        <v>1010</v>
      </c>
      <c r="O35" t="s">
        <v>971</v>
      </c>
      <c r="P35" t="s">
        <v>1018</v>
      </c>
      <c r="Q35" t="s">
        <v>969</v>
      </c>
    </row>
    <row r="36" spans="1:18" x14ac:dyDescent="0.25">
      <c r="A36" s="1">
        <v>42390</v>
      </c>
      <c r="B36" t="s">
        <v>155</v>
      </c>
      <c r="C36" t="s">
        <v>76</v>
      </c>
      <c r="D36" t="s">
        <v>96</v>
      </c>
      <c r="E36" t="s">
        <v>85</v>
      </c>
      <c r="F36" t="s">
        <v>43</v>
      </c>
      <c r="G36" t="s">
        <v>4</v>
      </c>
      <c r="H36">
        <v>1</v>
      </c>
      <c r="I36">
        <v>1</v>
      </c>
      <c r="J36" t="s">
        <v>6</v>
      </c>
      <c r="L36" s="2">
        <v>10000</v>
      </c>
      <c r="P36" t="s">
        <v>985</v>
      </c>
      <c r="Q36" t="s">
        <v>969</v>
      </c>
      <c r="R36" t="s">
        <v>986</v>
      </c>
    </row>
    <row r="37" spans="1:18" x14ac:dyDescent="0.25">
      <c r="A37" s="1">
        <v>42393</v>
      </c>
      <c r="B37" t="s">
        <v>296</v>
      </c>
      <c r="C37" t="s">
        <v>58</v>
      </c>
      <c r="D37" t="s">
        <v>98</v>
      </c>
      <c r="E37" t="s">
        <v>62</v>
      </c>
      <c r="F37" t="s">
        <v>44</v>
      </c>
      <c r="G37" t="s">
        <v>4</v>
      </c>
      <c r="H37">
        <v>1</v>
      </c>
      <c r="I37">
        <v>1</v>
      </c>
      <c r="J37" t="s">
        <v>95</v>
      </c>
      <c r="K37" s="57">
        <v>52</v>
      </c>
      <c r="L37" s="2">
        <v>23782</v>
      </c>
      <c r="M37" t="s">
        <v>1020</v>
      </c>
      <c r="N37" t="s">
        <v>971</v>
      </c>
      <c r="O37" t="s">
        <v>971</v>
      </c>
      <c r="P37" t="s">
        <v>989</v>
      </c>
      <c r="Q37" t="s">
        <v>969</v>
      </c>
    </row>
    <row r="38" spans="1:18" x14ac:dyDescent="0.25">
      <c r="A38" s="1">
        <v>42397</v>
      </c>
      <c r="B38" t="s">
        <v>161</v>
      </c>
      <c r="C38" t="s">
        <v>76</v>
      </c>
      <c r="D38" t="s">
        <v>96</v>
      </c>
      <c r="E38" t="s">
        <v>85</v>
      </c>
      <c r="F38" t="s">
        <v>44</v>
      </c>
      <c r="G38" t="s">
        <v>18</v>
      </c>
      <c r="H38">
        <v>1</v>
      </c>
      <c r="I38">
        <v>0</v>
      </c>
      <c r="J38" t="s">
        <v>6</v>
      </c>
      <c r="L38" s="2">
        <v>18206</v>
      </c>
      <c r="P38" t="s">
        <v>978</v>
      </c>
      <c r="Q38" t="s">
        <v>969</v>
      </c>
      <c r="R38" t="s">
        <v>990</v>
      </c>
    </row>
    <row r="39" spans="1:18" x14ac:dyDescent="0.25">
      <c r="A39" s="1">
        <v>42400</v>
      </c>
      <c r="B39" t="s">
        <v>228</v>
      </c>
      <c r="C39" t="s">
        <v>58</v>
      </c>
      <c r="D39" t="s">
        <v>100</v>
      </c>
      <c r="E39" t="s">
        <v>62</v>
      </c>
      <c r="F39" t="s">
        <v>43</v>
      </c>
      <c r="G39" t="s">
        <v>19</v>
      </c>
      <c r="H39">
        <v>0</v>
      </c>
      <c r="I39">
        <v>1</v>
      </c>
      <c r="J39" t="s">
        <v>980</v>
      </c>
      <c r="K39" s="57">
        <v>63</v>
      </c>
      <c r="L39" s="2">
        <v>35277</v>
      </c>
      <c r="M39" t="s">
        <v>1020</v>
      </c>
      <c r="N39" s="1">
        <v>37714</v>
      </c>
      <c r="O39" t="s">
        <v>971</v>
      </c>
      <c r="P39" t="s">
        <v>975</v>
      </c>
      <c r="Q39" t="s">
        <v>969</v>
      </c>
    </row>
    <row r="40" spans="1:18" x14ac:dyDescent="0.25">
      <c r="A40" s="1">
        <v>42403</v>
      </c>
      <c r="B40" t="s">
        <v>181</v>
      </c>
      <c r="C40" t="s">
        <v>76</v>
      </c>
      <c r="D40" t="s">
        <v>99</v>
      </c>
      <c r="E40" t="s">
        <v>92</v>
      </c>
      <c r="F40" t="s">
        <v>44</v>
      </c>
      <c r="G40" t="s">
        <v>19</v>
      </c>
      <c r="H40">
        <v>0</v>
      </c>
      <c r="I40">
        <v>7</v>
      </c>
      <c r="J40" t="s">
        <v>13</v>
      </c>
      <c r="L40" s="2">
        <v>60635</v>
      </c>
      <c r="P40" t="s">
        <v>987</v>
      </c>
      <c r="Q40" t="s">
        <v>969</v>
      </c>
      <c r="R40" t="s">
        <v>986</v>
      </c>
    </row>
    <row r="41" spans="1:18" x14ac:dyDescent="0.25">
      <c r="A41" s="1">
        <v>42407</v>
      </c>
      <c r="B41" t="s">
        <v>228</v>
      </c>
      <c r="C41" t="s">
        <v>58</v>
      </c>
      <c r="D41" t="s">
        <v>101</v>
      </c>
      <c r="E41" t="s">
        <v>62</v>
      </c>
      <c r="F41" t="s">
        <v>44</v>
      </c>
      <c r="G41" t="s">
        <v>19</v>
      </c>
      <c r="H41">
        <v>0</v>
      </c>
      <c r="I41">
        <v>1</v>
      </c>
      <c r="J41" t="s">
        <v>11</v>
      </c>
      <c r="K41" s="57">
        <v>56</v>
      </c>
      <c r="L41" s="2">
        <v>40228</v>
      </c>
      <c r="M41" t="s">
        <v>1020</v>
      </c>
      <c r="N41" t="s">
        <v>971</v>
      </c>
      <c r="O41" s="1">
        <v>37350</v>
      </c>
      <c r="P41" t="s">
        <v>993</v>
      </c>
      <c r="Q41" t="s">
        <v>969</v>
      </c>
    </row>
    <row r="42" spans="1:18" x14ac:dyDescent="0.25">
      <c r="A42" s="1">
        <v>42410</v>
      </c>
      <c r="B42" t="s">
        <v>181</v>
      </c>
      <c r="C42" t="s">
        <v>76</v>
      </c>
      <c r="D42" t="s">
        <v>99</v>
      </c>
      <c r="E42" t="s">
        <v>92</v>
      </c>
      <c r="F42" t="s">
        <v>43</v>
      </c>
      <c r="G42" t="s">
        <v>4</v>
      </c>
      <c r="H42">
        <v>1</v>
      </c>
      <c r="I42">
        <v>1</v>
      </c>
      <c r="J42" t="s">
        <v>13</v>
      </c>
      <c r="L42" s="2">
        <v>16296</v>
      </c>
      <c r="P42" t="s">
        <v>1004</v>
      </c>
      <c r="Q42" t="s">
        <v>969</v>
      </c>
      <c r="R42" t="s">
        <v>1021</v>
      </c>
    </row>
    <row r="43" spans="1:18" x14ac:dyDescent="0.25">
      <c r="A43" s="1">
        <v>42413</v>
      </c>
      <c r="B43" t="s">
        <v>158</v>
      </c>
      <c r="C43" t="s">
        <v>58</v>
      </c>
      <c r="D43" t="s">
        <v>102</v>
      </c>
      <c r="E43" t="s">
        <v>64</v>
      </c>
      <c r="F43" t="s">
        <v>43</v>
      </c>
      <c r="G43" t="s">
        <v>18</v>
      </c>
      <c r="H43">
        <v>2</v>
      </c>
      <c r="I43">
        <v>1</v>
      </c>
      <c r="J43" t="s">
        <v>48</v>
      </c>
      <c r="K43" s="57">
        <v>58</v>
      </c>
      <c r="L43" s="2">
        <v>34689</v>
      </c>
      <c r="M43" t="s">
        <v>1022</v>
      </c>
      <c r="N43" t="s">
        <v>971</v>
      </c>
      <c r="O43" s="1">
        <v>37350</v>
      </c>
      <c r="P43" t="s">
        <v>985</v>
      </c>
      <c r="Q43" t="s">
        <v>969</v>
      </c>
    </row>
    <row r="44" spans="1:18" x14ac:dyDescent="0.25">
      <c r="A44" t="s">
        <v>0</v>
      </c>
      <c r="B44" t="s">
        <v>1</v>
      </c>
      <c r="C44" t="s">
        <v>16</v>
      </c>
      <c r="D44" t="s">
        <v>51</v>
      </c>
      <c r="E44" t="s">
        <v>52</v>
      </c>
      <c r="F44" t="s">
        <v>53</v>
      </c>
      <c r="G44" t="s">
        <v>54</v>
      </c>
      <c r="H44" t="s">
        <v>20</v>
      </c>
      <c r="I44" t="s">
        <v>21</v>
      </c>
      <c r="J44" t="s">
        <v>45</v>
      </c>
      <c r="L44" t="s">
        <v>24</v>
      </c>
      <c r="M44" t="s">
        <v>965</v>
      </c>
      <c r="N44" t="s">
        <v>966</v>
      </c>
      <c r="O44" t="s">
        <v>967</v>
      </c>
      <c r="P44" t="s">
        <v>968</v>
      </c>
      <c r="Q44" t="s">
        <v>969</v>
      </c>
      <c r="R44" t="s">
        <v>27</v>
      </c>
    </row>
    <row r="45" spans="1:18" x14ac:dyDescent="0.25">
      <c r="A45" s="1">
        <v>42418</v>
      </c>
      <c r="B45" t="s">
        <v>435</v>
      </c>
      <c r="C45" t="s">
        <v>193</v>
      </c>
      <c r="D45" t="s">
        <v>77</v>
      </c>
      <c r="E45" t="s">
        <v>85</v>
      </c>
      <c r="F45" t="s">
        <v>43</v>
      </c>
      <c r="G45" t="s">
        <v>18</v>
      </c>
      <c r="H45">
        <v>6</v>
      </c>
      <c r="I45">
        <v>0</v>
      </c>
      <c r="J45" t="s">
        <v>1023</v>
      </c>
      <c r="K45" s="57">
        <v>52</v>
      </c>
      <c r="L45" s="2">
        <v>28831</v>
      </c>
      <c r="M45" t="s">
        <v>1020</v>
      </c>
      <c r="N45" s="1">
        <v>37714</v>
      </c>
      <c r="O45" t="s">
        <v>971</v>
      </c>
      <c r="P45" t="s">
        <v>1024</v>
      </c>
      <c r="Q45" t="s">
        <v>969</v>
      </c>
      <c r="R45" t="s">
        <v>986</v>
      </c>
    </row>
    <row r="46" spans="1:18" x14ac:dyDescent="0.25">
      <c r="A46" s="1">
        <v>42421</v>
      </c>
      <c r="B46" t="s">
        <v>296</v>
      </c>
      <c r="C46" t="s">
        <v>58</v>
      </c>
      <c r="D46" t="s">
        <v>103</v>
      </c>
      <c r="E46" t="s">
        <v>62</v>
      </c>
      <c r="F46" t="s">
        <v>44</v>
      </c>
      <c r="G46" t="s">
        <v>18</v>
      </c>
      <c r="H46">
        <v>2</v>
      </c>
      <c r="I46">
        <v>1</v>
      </c>
      <c r="J46" t="s">
        <v>14</v>
      </c>
      <c r="K46" s="57">
        <v>46</v>
      </c>
      <c r="L46" s="2">
        <v>14735</v>
      </c>
      <c r="M46" t="s">
        <v>1022</v>
      </c>
      <c r="N46" t="s">
        <v>971</v>
      </c>
      <c r="O46" t="s">
        <v>971</v>
      </c>
      <c r="P46" t="s">
        <v>972</v>
      </c>
      <c r="Q46" t="s">
        <v>969</v>
      </c>
    </row>
    <row r="47" spans="1:18" x14ac:dyDescent="0.25">
      <c r="A47" s="1">
        <v>42425</v>
      </c>
      <c r="B47" t="s">
        <v>162</v>
      </c>
      <c r="C47" t="s">
        <v>193</v>
      </c>
      <c r="D47" t="s">
        <v>77</v>
      </c>
      <c r="E47" t="s">
        <v>85</v>
      </c>
      <c r="F47" t="s">
        <v>44</v>
      </c>
      <c r="G47" t="s">
        <v>18</v>
      </c>
      <c r="H47">
        <v>4</v>
      </c>
      <c r="I47">
        <v>0</v>
      </c>
      <c r="J47" t="s">
        <v>1023</v>
      </c>
      <c r="K47" s="57">
        <v>57</v>
      </c>
      <c r="L47" s="2">
        <v>39800</v>
      </c>
      <c r="M47" t="s">
        <v>1020</v>
      </c>
      <c r="N47" t="s">
        <v>971</v>
      </c>
      <c r="O47" t="s">
        <v>971</v>
      </c>
      <c r="P47" t="s">
        <v>1025</v>
      </c>
      <c r="Q47" t="s">
        <v>969</v>
      </c>
      <c r="R47" t="s">
        <v>990</v>
      </c>
    </row>
    <row r="48" spans="1:18" x14ac:dyDescent="0.25">
      <c r="A48" s="1">
        <v>42428</v>
      </c>
      <c r="B48" t="s">
        <v>228</v>
      </c>
      <c r="C48" t="s">
        <v>58</v>
      </c>
      <c r="D48" t="s">
        <v>104</v>
      </c>
      <c r="E48" t="s">
        <v>62</v>
      </c>
      <c r="F48" t="s">
        <v>43</v>
      </c>
      <c r="G48" t="s">
        <v>19</v>
      </c>
      <c r="H48">
        <v>0</v>
      </c>
      <c r="I48">
        <v>3</v>
      </c>
      <c r="J48" t="s">
        <v>73</v>
      </c>
      <c r="K48" s="57">
        <v>51</v>
      </c>
      <c r="L48" s="2">
        <v>36576</v>
      </c>
      <c r="M48" t="s">
        <v>1020</v>
      </c>
      <c r="N48" t="s">
        <v>1010</v>
      </c>
      <c r="O48" t="s">
        <v>971</v>
      </c>
      <c r="P48" t="s">
        <v>976</v>
      </c>
      <c r="Q48" t="s">
        <v>969</v>
      </c>
    </row>
    <row r="49" spans="1:18" x14ac:dyDescent="0.25">
      <c r="A49" s="1">
        <v>42431</v>
      </c>
      <c r="B49" t="s">
        <v>155</v>
      </c>
      <c r="C49" t="s">
        <v>58</v>
      </c>
      <c r="D49" t="s">
        <v>105</v>
      </c>
      <c r="E49" t="s">
        <v>92</v>
      </c>
      <c r="F49" t="s">
        <v>44</v>
      </c>
      <c r="G49" t="s">
        <v>18</v>
      </c>
      <c r="H49">
        <v>2</v>
      </c>
      <c r="I49">
        <v>1</v>
      </c>
      <c r="J49" t="s">
        <v>70</v>
      </c>
      <c r="K49" s="57">
        <v>54</v>
      </c>
      <c r="L49" s="2">
        <v>20556</v>
      </c>
      <c r="M49" t="s">
        <v>1022</v>
      </c>
      <c r="N49" s="1">
        <v>37714</v>
      </c>
      <c r="O49" s="1">
        <v>37350</v>
      </c>
      <c r="P49" t="s">
        <v>975</v>
      </c>
      <c r="Q49" t="s">
        <v>969</v>
      </c>
    </row>
    <row r="50" spans="1:18" x14ac:dyDescent="0.25">
      <c r="A50" s="1">
        <v>42435</v>
      </c>
      <c r="B50" t="s">
        <v>158</v>
      </c>
      <c r="C50" t="s">
        <v>58</v>
      </c>
      <c r="D50" t="s">
        <v>106</v>
      </c>
      <c r="E50" t="s">
        <v>62</v>
      </c>
      <c r="F50" t="s">
        <v>43</v>
      </c>
      <c r="G50" t="s">
        <v>19</v>
      </c>
      <c r="H50">
        <v>1</v>
      </c>
      <c r="I50">
        <v>3</v>
      </c>
      <c r="J50" t="s">
        <v>65</v>
      </c>
      <c r="K50" s="57">
        <v>45</v>
      </c>
      <c r="L50" s="2">
        <v>40819</v>
      </c>
      <c r="M50" t="s">
        <v>1022</v>
      </c>
      <c r="N50" s="1">
        <v>37714</v>
      </c>
      <c r="O50" s="1">
        <v>37714</v>
      </c>
      <c r="P50" t="s">
        <v>991</v>
      </c>
      <c r="Q50" t="s">
        <v>969</v>
      </c>
    </row>
    <row r="51" spans="1:18" x14ac:dyDescent="0.25">
      <c r="A51" s="1">
        <v>42439</v>
      </c>
      <c r="B51" t="s">
        <v>435</v>
      </c>
      <c r="C51" t="s">
        <v>193</v>
      </c>
      <c r="D51" t="s">
        <v>91</v>
      </c>
      <c r="E51" t="s">
        <v>85</v>
      </c>
      <c r="F51" t="s">
        <v>44</v>
      </c>
      <c r="G51" t="s">
        <v>19</v>
      </c>
      <c r="H51">
        <v>0</v>
      </c>
      <c r="I51">
        <v>1</v>
      </c>
      <c r="J51" t="s">
        <v>1026</v>
      </c>
      <c r="K51" s="57">
        <v>44</v>
      </c>
      <c r="L51" s="2">
        <v>35765</v>
      </c>
      <c r="M51" t="s">
        <v>1020</v>
      </c>
      <c r="N51" t="s">
        <v>1010</v>
      </c>
      <c r="O51" t="s">
        <v>971</v>
      </c>
      <c r="P51" t="s">
        <v>1027</v>
      </c>
      <c r="Q51" t="s">
        <v>969</v>
      </c>
      <c r="R51" t="s">
        <v>986</v>
      </c>
    </row>
    <row r="52" spans="1:18" x14ac:dyDescent="0.25">
      <c r="A52" s="1">
        <v>42442</v>
      </c>
      <c r="B52" t="s">
        <v>182</v>
      </c>
      <c r="C52" t="s">
        <v>58</v>
      </c>
      <c r="D52" t="s">
        <v>107</v>
      </c>
      <c r="E52" t="s">
        <v>62</v>
      </c>
      <c r="F52" t="s">
        <v>44</v>
      </c>
      <c r="G52" t="s">
        <v>19</v>
      </c>
      <c r="H52">
        <v>0</v>
      </c>
      <c r="I52">
        <v>1</v>
      </c>
      <c r="J52" t="s">
        <v>67</v>
      </c>
      <c r="K52" s="57">
        <v>55</v>
      </c>
      <c r="L52" s="2">
        <v>18191</v>
      </c>
      <c r="M52" t="s">
        <v>1028</v>
      </c>
      <c r="N52" s="1">
        <v>37714</v>
      </c>
      <c r="O52" s="1">
        <v>37350</v>
      </c>
      <c r="P52" t="s">
        <v>985</v>
      </c>
      <c r="Q52" t="s">
        <v>969</v>
      </c>
    </row>
    <row r="53" spans="1:18" x14ac:dyDescent="0.25">
      <c r="A53" s="1">
        <v>42446</v>
      </c>
      <c r="B53" t="s">
        <v>224</v>
      </c>
      <c r="C53" t="s">
        <v>193</v>
      </c>
      <c r="D53" t="s">
        <v>91</v>
      </c>
      <c r="E53" t="s">
        <v>85</v>
      </c>
      <c r="F53" t="s">
        <v>43</v>
      </c>
      <c r="G53" t="s">
        <v>18</v>
      </c>
      <c r="H53">
        <v>2</v>
      </c>
      <c r="I53">
        <v>1</v>
      </c>
      <c r="J53" t="s">
        <v>1026</v>
      </c>
      <c r="K53" s="57">
        <v>52</v>
      </c>
      <c r="L53" s="2">
        <v>31681</v>
      </c>
      <c r="M53" t="s">
        <v>1020</v>
      </c>
      <c r="N53" s="1">
        <v>37714</v>
      </c>
      <c r="O53" t="s">
        <v>971</v>
      </c>
      <c r="P53" t="s">
        <v>1013</v>
      </c>
      <c r="Q53" t="s">
        <v>969</v>
      </c>
      <c r="R53" t="s">
        <v>1029</v>
      </c>
    </row>
    <row r="54" spans="1:18" x14ac:dyDescent="0.25">
      <c r="A54" s="1">
        <v>42449</v>
      </c>
      <c r="B54" t="s">
        <v>1012</v>
      </c>
      <c r="C54" t="s">
        <v>58</v>
      </c>
      <c r="D54" t="s">
        <v>108</v>
      </c>
      <c r="E54" t="s">
        <v>62</v>
      </c>
      <c r="F54" t="s">
        <v>43</v>
      </c>
      <c r="G54" t="s">
        <v>19</v>
      </c>
      <c r="H54">
        <v>0</v>
      </c>
      <c r="I54">
        <v>2</v>
      </c>
      <c r="J54" t="s">
        <v>50</v>
      </c>
      <c r="K54" s="57">
        <v>48</v>
      </c>
      <c r="L54" s="2">
        <v>32864</v>
      </c>
      <c r="M54" t="s">
        <v>1022</v>
      </c>
      <c r="N54" t="s">
        <v>971</v>
      </c>
      <c r="O54" t="s">
        <v>971</v>
      </c>
      <c r="P54" t="s">
        <v>982</v>
      </c>
      <c r="Q54" t="s">
        <v>969</v>
      </c>
    </row>
    <row r="55" spans="1:18" x14ac:dyDescent="0.25">
      <c r="A55" s="1">
        <v>42462</v>
      </c>
      <c r="B55" t="s">
        <v>1030</v>
      </c>
      <c r="C55" t="s">
        <v>58</v>
      </c>
      <c r="D55" t="s">
        <v>109</v>
      </c>
      <c r="E55" t="s">
        <v>64</v>
      </c>
      <c r="F55" t="s">
        <v>44</v>
      </c>
      <c r="G55" t="s">
        <v>19</v>
      </c>
      <c r="H55">
        <v>1</v>
      </c>
      <c r="I55">
        <v>2</v>
      </c>
      <c r="J55" t="s">
        <v>6</v>
      </c>
      <c r="K55" s="57">
        <v>38</v>
      </c>
      <c r="L55" s="2">
        <v>27041</v>
      </c>
      <c r="M55" t="s">
        <v>1000</v>
      </c>
      <c r="N55" s="1">
        <v>37350</v>
      </c>
      <c r="O55" t="s">
        <v>1010</v>
      </c>
      <c r="P55" t="s">
        <v>1014</v>
      </c>
      <c r="Q55" t="s">
        <v>969</v>
      </c>
    </row>
    <row r="56" spans="1:18" x14ac:dyDescent="0.25">
      <c r="A56" s="1">
        <v>42470</v>
      </c>
      <c r="B56" t="s">
        <v>228</v>
      </c>
      <c r="C56" t="s">
        <v>58</v>
      </c>
      <c r="D56" t="s">
        <v>110</v>
      </c>
      <c r="E56" t="s">
        <v>62</v>
      </c>
      <c r="F56" t="s">
        <v>43</v>
      </c>
      <c r="G56" t="s">
        <v>18</v>
      </c>
      <c r="H56">
        <v>2</v>
      </c>
      <c r="I56">
        <v>1</v>
      </c>
      <c r="J56" t="s">
        <v>2</v>
      </c>
      <c r="K56" s="57">
        <v>50</v>
      </c>
      <c r="L56" s="2">
        <v>41569</v>
      </c>
      <c r="M56" t="s">
        <v>1022</v>
      </c>
      <c r="N56" s="1">
        <v>37714</v>
      </c>
      <c r="O56" t="s">
        <v>971</v>
      </c>
      <c r="P56" t="s">
        <v>972</v>
      </c>
      <c r="Q56" t="s">
        <v>969</v>
      </c>
    </row>
    <row r="57" spans="1:18" x14ac:dyDescent="0.25">
      <c r="A57" s="1">
        <v>42477</v>
      </c>
      <c r="B57" t="s">
        <v>158</v>
      </c>
      <c r="C57" t="s">
        <v>58</v>
      </c>
      <c r="D57" t="s">
        <v>111</v>
      </c>
      <c r="E57" t="s">
        <v>62</v>
      </c>
      <c r="F57" t="s">
        <v>44</v>
      </c>
      <c r="G57" t="s">
        <v>18</v>
      </c>
      <c r="H57">
        <v>2</v>
      </c>
      <c r="I57">
        <v>1</v>
      </c>
      <c r="J57" t="s">
        <v>13</v>
      </c>
      <c r="K57" s="57">
        <v>31</v>
      </c>
      <c r="L57" s="2">
        <v>88667</v>
      </c>
      <c r="M57" t="s">
        <v>1000</v>
      </c>
      <c r="N57" s="1">
        <v>36986</v>
      </c>
      <c r="O57" s="1">
        <v>37714</v>
      </c>
      <c r="P57" t="s">
        <v>978</v>
      </c>
      <c r="Q57" t="s">
        <v>969</v>
      </c>
    </row>
    <row r="58" spans="1:18" x14ac:dyDescent="0.25">
      <c r="A58" s="1">
        <v>42480</v>
      </c>
      <c r="B58" t="s">
        <v>156</v>
      </c>
      <c r="C58" t="s">
        <v>58</v>
      </c>
      <c r="D58" t="s">
        <v>112</v>
      </c>
      <c r="E58" t="s">
        <v>92</v>
      </c>
      <c r="F58" t="s">
        <v>43</v>
      </c>
      <c r="G58" t="s">
        <v>18</v>
      </c>
      <c r="H58">
        <v>4</v>
      </c>
      <c r="I58">
        <v>0</v>
      </c>
      <c r="J58" t="s">
        <v>89</v>
      </c>
      <c r="K58" s="57">
        <v>52</v>
      </c>
      <c r="L58" s="2">
        <v>34309</v>
      </c>
      <c r="M58" t="s">
        <v>1022</v>
      </c>
      <c r="N58" s="1">
        <v>37714</v>
      </c>
      <c r="O58" s="1">
        <v>37714</v>
      </c>
      <c r="P58" t="s">
        <v>988</v>
      </c>
      <c r="Q58" t="s">
        <v>969</v>
      </c>
    </row>
    <row r="59" spans="1:18" x14ac:dyDescent="0.25">
      <c r="A59" s="1">
        <v>42484</v>
      </c>
      <c r="B59" t="s">
        <v>296</v>
      </c>
      <c r="C59" t="s">
        <v>58</v>
      </c>
      <c r="D59" t="s">
        <v>113</v>
      </c>
      <c r="E59" t="s">
        <v>62</v>
      </c>
      <c r="F59" t="s">
        <v>44</v>
      </c>
      <c r="G59" t="s">
        <v>4</v>
      </c>
      <c r="H59">
        <v>2</v>
      </c>
      <c r="I59">
        <v>2</v>
      </c>
      <c r="J59" t="s">
        <v>12</v>
      </c>
      <c r="K59" s="57">
        <v>59</v>
      </c>
      <c r="L59" s="2">
        <v>11637</v>
      </c>
      <c r="M59" t="s">
        <v>1022</v>
      </c>
      <c r="N59" t="s">
        <v>1010</v>
      </c>
      <c r="O59" t="s">
        <v>1010</v>
      </c>
      <c r="P59" t="s">
        <v>995</v>
      </c>
      <c r="Q59" t="s">
        <v>969</v>
      </c>
    </row>
    <row r="60" spans="1:18" x14ac:dyDescent="0.25">
      <c r="A60" s="1">
        <v>42491</v>
      </c>
      <c r="B60" t="s">
        <v>158</v>
      </c>
      <c r="C60" t="s">
        <v>58</v>
      </c>
      <c r="D60" t="s">
        <v>114</v>
      </c>
      <c r="E60" t="s">
        <v>62</v>
      </c>
      <c r="F60" t="s">
        <v>43</v>
      </c>
      <c r="G60" t="s">
        <v>19</v>
      </c>
      <c r="H60">
        <v>0</v>
      </c>
      <c r="I60">
        <v>2</v>
      </c>
      <c r="J60" t="s">
        <v>10</v>
      </c>
      <c r="K60" s="57">
        <v>56</v>
      </c>
      <c r="L60" s="2">
        <v>38283</v>
      </c>
      <c r="M60" t="s">
        <v>1000</v>
      </c>
      <c r="N60" s="1">
        <v>37714</v>
      </c>
      <c r="O60" s="1">
        <v>37350</v>
      </c>
      <c r="P60" t="s">
        <v>985</v>
      </c>
      <c r="Q60" t="s">
        <v>969</v>
      </c>
    </row>
    <row r="61" spans="1:18" x14ac:dyDescent="0.25">
      <c r="A61" s="1">
        <v>42498</v>
      </c>
      <c r="B61" t="s">
        <v>244</v>
      </c>
      <c r="C61" t="s">
        <v>58</v>
      </c>
      <c r="D61" t="s">
        <v>115</v>
      </c>
      <c r="E61" t="s">
        <v>62</v>
      </c>
      <c r="F61" t="s">
        <v>44</v>
      </c>
      <c r="G61" t="s">
        <v>19</v>
      </c>
      <c r="H61">
        <v>2</v>
      </c>
      <c r="I61">
        <v>3</v>
      </c>
      <c r="J61" t="s">
        <v>8</v>
      </c>
      <c r="K61" s="57">
        <v>53</v>
      </c>
      <c r="L61" s="2">
        <v>72987</v>
      </c>
      <c r="M61" t="s">
        <v>1022</v>
      </c>
      <c r="N61" s="1">
        <v>37714</v>
      </c>
      <c r="O61" s="1">
        <v>37714</v>
      </c>
      <c r="P61" t="s">
        <v>978</v>
      </c>
      <c r="Q61" t="s">
        <v>969</v>
      </c>
    </row>
    <row r="62" spans="1:18" x14ac:dyDescent="0.25">
      <c r="A62" s="1">
        <v>42503</v>
      </c>
      <c r="B62" t="s">
        <v>158</v>
      </c>
      <c r="C62" t="s">
        <v>58</v>
      </c>
      <c r="D62" t="s">
        <v>116</v>
      </c>
      <c r="E62" t="s">
        <v>60</v>
      </c>
      <c r="F62" t="s">
        <v>43</v>
      </c>
      <c r="G62" t="s">
        <v>19</v>
      </c>
      <c r="H62">
        <v>0</v>
      </c>
      <c r="I62">
        <v>1</v>
      </c>
      <c r="J62" t="s">
        <v>49</v>
      </c>
      <c r="K62" s="57">
        <v>50</v>
      </c>
      <c r="L62" s="2">
        <v>27732</v>
      </c>
      <c r="M62" t="s">
        <v>1022</v>
      </c>
      <c r="N62" s="1">
        <v>37714</v>
      </c>
      <c r="O62" t="s">
        <v>971</v>
      </c>
      <c r="P62" t="s">
        <v>1004</v>
      </c>
      <c r="Q62" t="s">
        <v>1031</v>
      </c>
    </row>
    <row r="65" spans="11:11" x14ac:dyDescent="0.25">
      <c r="K65" s="57">
        <f>AVERAGE(K3:K62)</f>
        <v>50.4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ACE5-EA0E-4113-A735-38D7205FCA31}">
  <dimension ref="A1:R46"/>
  <sheetViews>
    <sheetView workbookViewId="0">
      <selection activeCell="K47" sqref="K47"/>
    </sheetView>
  </sheetViews>
  <sheetFormatPr defaultRowHeight="15" x14ac:dyDescent="0.25"/>
  <cols>
    <col min="1" max="1" width="12.42578125" customWidth="1"/>
    <col min="11" max="11" width="8.85546875" style="57"/>
  </cols>
  <sheetData>
    <row r="1" spans="1:18" x14ac:dyDescent="0.25">
      <c r="A1" t="s">
        <v>964</v>
      </c>
      <c r="B1" t="s">
        <v>24</v>
      </c>
      <c r="C1" t="s">
        <v>965</v>
      </c>
      <c r="D1" t="s">
        <v>966</v>
      </c>
      <c r="E1" t="s">
        <v>967</v>
      </c>
      <c r="F1" t="s">
        <v>968</v>
      </c>
      <c r="G1" t="s">
        <v>969</v>
      </c>
      <c r="H1" t="s">
        <v>27</v>
      </c>
      <c r="K1" s="57" t="s">
        <v>57</v>
      </c>
    </row>
    <row r="2" spans="1:18" x14ac:dyDescent="0.25">
      <c r="A2" s="1">
        <v>42604</v>
      </c>
      <c r="B2" t="s">
        <v>176</v>
      </c>
      <c r="C2" t="s">
        <v>58</v>
      </c>
      <c r="D2" t="s">
        <v>59</v>
      </c>
      <c r="E2" t="s">
        <v>117</v>
      </c>
      <c r="F2" t="s">
        <v>43</v>
      </c>
      <c r="G2" t="s">
        <v>19</v>
      </c>
      <c r="H2">
        <v>2</v>
      </c>
      <c r="I2">
        <v>4</v>
      </c>
      <c r="J2" t="s">
        <v>6</v>
      </c>
      <c r="K2" s="57">
        <v>58</v>
      </c>
      <c r="L2" s="2">
        <v>37144</v>
      </c>
      <c r="M2" t="s">
        <v>970</v>
      </c>
      <c r="N2" t="s">
        <v>971</v>
      </c>
      <c r="O2" t="s">
        <v>971</v>
      </c>
      <c r="P2" t="s">
        <v>972</v>
      </c>
      <c r="Q2" t="s">
        <v>969</v>
      </c>
    </row>
    <row r="3" spans="1:18" x14ac:dyDescent="0.25">
      <c r="A3" s="1">
        <v>42609</v>
      </c>
      <c r="B3" t="s">
        <v>296</v>
      </c>
      <c r="C3" t="s">
        <v>58</v>
      </c>
      <c r="D3" t="s">
        <v>61</v>
      </c>
      <c r="E3" t="s">
        <v>64</v>
      </c>
      <c r="F3" t="s">
        <v>44</v>
      </c>
      <c r="G3" t="s">
        <v>19</v>
      </c>
      <c r="H3">
        <v>0</v>
      </c>
      <c r="I3">
        <v>1</v>
      </c>
      <c r="J3" t="s">
        <v>89</v>
      </c>
      <c r="K3" s="57">
        <v>61</v>
      </c>
      <c r="L3" s="2">
        <v>3576</v>
      </c>
      <c r="M3" t="s">
        <v>973</v>
      </c>
      <c r="N3" s="1">
        <v>37714</v>
      </c>
      <c r="O3" t="s">
        <v>971</v>
      </c>
      <c r="P3" t="s">
        <v>974</v>
      </c>
      <c r="Q3" t="s">
        <v>969</v>
      </c>
    </row>
    <row r="4" spans="1:18" x14ac:dyDescent="0.25">
      <c r="A4" s="1">
        <v>42624</v>
      </c>
      <c r="B4" t="s">
        <v>228</v>
      </c>
      <c r="C4" t="s">
        <v>58</v>
      </c>
      <c r="D4" t="s">
        <v>63</v>
      </c>
      <c r="E4" t="s">
        <v>62</v>
      </c>
      <c r="F4" t="s">
        <v>43</v>
      </c>
      <c r="G4" t="s">
        <v>19</v>
      </c>
      <c r="H4">
        <v>2</v>
      </c>
      <c r="I4">
        <v>3</v>
      </c>
      <c r="J4" t="s">
        <v>11</v>
      </c>
      <c r="K4" s="57">
        <v>55</v>
      </c>
      <c r="L4" s="2">
        <v>36789</v>
      </c>
      <c r="M4" t="s">
        <v>970</v>
      </c>
      <c r="N4" s="1">
        <v>37714</v>
      </c>
      <c r="O4" s="1">
        <v>37714</v>
      </c>
      <c r="P4" t="s">
        <v>975</v>
      </c>
      <c r="Q4" t="s">
        <v>969</v>
      </c>
    </row>
    <row r="5" spans="1:18" x14ac:dyDescent="0.25">
      <c r="A5" s="1">
        <v>42631</v>
      </c>
      <c r="B5" t="s">
        <v>153</v>
      </c>
      <c r="C5" t="s">
        <v>58</v>
      </c>
      <c r="D5" t="s">
        <v>66</v>
      </c>
      <c r="E5" t="s">
        <v>62</v>
      </c>
      <c r="F5" t="s">
        <v>44</v>
      </c>
      <c r="G5" t="s">
        <v>19</v>
      </c>
      <c r="H5">
        <v>1</v>
      </c>
      <c r="I5">
        <v>2</v>
      </c>
      <c r="J5" t="s">
        <v>73</v>
      </c>
      <c r="K5" s="57">
        <v>54</v>
      </c>
      <c r="L5" s="2">
        <v>40907</v>
      </c>
      <c r="M5" t="s">
        <v>973</v>
      </c>
      <c r="N5" s="1">
        <v>37714</v>
      </c>
      <c r="O5" t="s">
        <v>971</v>
      </c>
      <c r="P5" t="s">
        <v>976</v>
      </c>
      <c r="Q5" t="s">
        <v>969</v>
      </c>
    </row>
    <row r="6" spans="1:18" x14ac:dyDescent="0.25">
      <c r="A6" s="1">
        <v>42635</v>
      </c>
      <c r="B6" t="s">
        <v>176</v>
      </c>
      <c r="C6" t="s">
        <v>58</v>
      </c>
      <c r="D6" t="s">
        <v>68</v>
      </c>
      <c r="E6" t="s">
        <v>85</v>
      </c>
      <c r="F6" t="s">
        <v>43</v>
      </c>
      <c r="G6" t="s">
        <v>18</v>
      </c>
      <c r="H6">
        <v>2</v>
      </c>
      <c r="I6">
        <v>1</v>
      </c>
      <c r="J6" t="s">
        <v>80</v>
      </c>
      <c r="K6" s="57">
        <v>50</v>
      </c>
      <c r="L6" s="2">
        <v>32285</v>
      </c>
      <c r="M6" t="s">
        <v>970</v>
      </c>
      <c r="N6" s="1">
        <v>37714</v>
      </c>
      <c r="O6" s="1">
        <v>37350</v>
      </c>
      <c r="P6" t="s">
        <v>977</v>
      </c>
      <c r="Q6" t="s">
        <v>969</v>
      </c>
    </row>
    <row r="7" spans="1:18" x14ac:dyDescent="0.25">
      <c r="A7" s="1">
        <v>42638</v>
      </c>
      <c r="B7" t="s">
        <v>168</v>
      </c>
      <c r="C7" t="s">
        <v>58</v>
      </c>
      <c r="D7" t="s">
        <v>71</v>
      </c>
      <c r="E7" t="s">
        <v>62</v>
      </c>
      <c r="F7" t="s">
        <v>44</v>
      </c>
      <c r="G7" t="s">
        <v>18</v>
      </c>
      <c r="H7">
        <v>2</v>
      </c>
      <c r="I7">
        <v>1</v>
      </c>
      <c r="J7" t="s">
        <v>82</v>
      </c>
      <c r="K7" s="57">
        <v>48</v>
      </c>
      <c r="L7" s="2">
        <v>10622</v>
      </c>
      <c r="M7" t="s">
        <v>970</v>
      </c>
      <c r="N7" t="s">
        <v>971</v>
      </c>
      <c r="O7" t="s">
        <v>971</v>
      </c>
      <c r="P7" t="s">
        <v>978</v>
      </c>
      <c r="Q7" t="s">
        <v>969</v>
      </c>
    </row>
    <row r="8" spans="1:18" x14ac:dyDescent="0.25">
      <c r="A8" s="1">
        <v>42645</v>
      </c>
      <c r="B8" t="s">
        <v>168</v>
      </c>
      <c r="C8" t="s">
        <v>58</v>
      </c>
      <c r="D8" t="s">
        <v>72</v>
      </c>
      <c r="E8" t="s">
        <v>62</v>
      </c>
      <c r="F8" t="s">
        <v>43</v>
      </c>
      <c r="G8" t="s">
        <v>19</v>
      </c>
      <c r="H8">
        <v>0</v>
      </c>
      <c r="I8">
        <v>2</v>
      </c>
      <c r="J8" t="s">
        <v>65</v>
      </c>
      <c r="K8" s="57">
        <v>41</v>
      </c>
      <c r="L8" s="2">
        <v>43276</v>
      </c>
      <c r="M8" t="s">
        <v>970</v>
      </c>
      <c r="N8" t="s">
        <v>971</v>
      </c>
      <c r="O8" s="1">
        <v>37350</v>
      </c>
      <c r="P8" t="s">
        <v>979</v>
      </c>
      <c r="Q8" t="s">
        <v>969</v>
      </c>
    </row>
    <row r="9" spans="1:18" x14ac:dyDescent="0.25">
      <c r="A9" s="1">
        <v>42659</v>
      </c>
      <c r="B9" t="s">
        <v>157</v>
      </c>
      <c r="C9" t="s">
        <v>58</v>
      </c>
      <c r="D9" t="s">
        <v>74</v>
      </c>
      <c r="E9" t="s">
        <v>62</v>
      </c>
      <c r="F9" t="s">
        <v>44</v>
      </c>
      <c r="G9" t="s">
        <v>18</v>
      </c>
      <c r="H9">
        <v>2</v>
      </c>
      <c r="I9">
        <v>1</v>
      </c>
      <c r="J9" t="s">
        <v>980</v>
      </c>
      <c r="K9" s="57">
        <v>51</v>
      </c>
      <c r="L9" s="2">
        <v>25309</v>
      </c>
      <c r="M9" t="s">
        <v>970</v>
      </c>
      <c r="N9" t="s">
        <v>971</v>
      </c>
      <c r="O9" s="1">
        <v>37350</v>
      </c>
      <c r="P9" t="s">
        <v>981</v>
      </c>
      <c r="Q9" t="s">
        <v>969</v>
      </c>
    </row>
    <row r="10" spans="1:18" x14ac:dyDescent="0.25">
      <c r="A10" s="1">
        <v>42665</v>
      </c>
      <c r="B10" t="s">
        <v>153</v>
      </c>
      <c r="C10" t="s">
        <v>58</v>
      </c>
      <c r="D10" t="s">
        <v>75</v>
      </c>
      <c r="E10" t="s">
        <v>64</v>
      </c>
      <c r="F10" t="s">
        <v>43</v>
      </c>
      <c r="G10" t="s">
        <v>19</v>
      </c>
      <c r="H10">
        <v>2</v>
      </c>
      <c r="I10">
        <v>3</v>
      </c>
      <c r="J10" t="s">
        <v>13</v>
      </c>
      <c r="K10" s="57">
        <v>30</v>
      </c>
      <c r="L10" s="2">
        <v>46770</v>
      </c>
      <c r="M10" t="s">
        <v>970</v>
      </c>
      <c r="N10" t="s">
        <v>971</v>
      </c>
      <c r="O10" s="1">
        <v>37714</v>
      </c>
      <c r="P10" t="s">
        <v>982</v>
      </c>
      <c r="Q10" t="s">
        <v>969</v>
      </c>
    </row>
    <row r="11" spans="1:18" x14ac:dyDescent="0.25">
      <c r="A11" s="1">
        <v>42674</v>
      </c>
      <c r="B11" t="s">
        <v>180</v>
      </c>
      <c r="C11" t="s">
        <v>58</v>
      </c>
      <c r="D11" t="s">
        <v>79</v>
      </c>
      <c r="E11" t="s">
        <v>117</v>
      </c>
      <c r="F11" t="s">
        <v>44</v>
      </c>
      <c r="G11" t="s">
        <v>4</v>
      </c>
      <c r="H11">
        <v>1</v>
      </c>
      <c r="I11">
        <v>1</v>
      </c>
      <c r="J11" t="s">
        <v>95</v>
      </c>
      <c r="K11" s="57">
        <v>61</v>
      </c>
      <c r="L11" s="2">
        <v>23492</v>
      </c>
      <c r="M11" t="s">
        <v>970</v>
      </c>
      <c r="N11" t="s">
        <v>971</v>
      </c>
      <c r="O11" t="s">
        <v>971</v>
      </c>
      <c r="P11" t="s">
        <v>975</v>
      </c>
      <c r="Q11" t="s">
        <v>969</v>
      </c>
    </row>
    <row r="12" spans="1:18" x14ac:dyDescent="0.25">
      <c r="A12" s="1">
        <v>42680</v>
      </c>
      <c r="B12" t="s">
        <v>153</v>
      </c>
      <c r="C12" t="s">
        <v>58</v>
      </c>
      <c r="D12" t="s">
        <v>81</v>
      </c>
      <c r="E12" t="s">
        <v>62</v>
      </c>
      <c r="F12" t="s">
        <v>44</v>
      </c>
      <c r="G12" t="s">
        <v>19</v>
      </c>
      <c r="H12">
        <v>1</v>
      </c>
      <c r="I12">
        <v>2</v>
      </c>
      <c r="J12" t="s">
        <v>50</v>
      </c>
      <c r="K12" s="57">
        <v>46</v>
      </c>
      <c r="L12" s="2">
        <v>18251</v>
      </c>
      <c r="M12" t="s">
        <v>973</v>
      </c>
      <c r="N12" t="s">
        <v>971</v>
      </c>
      <c r="O12" t="s">
        <v>971</v>
      </c>
      <c r="P12" t="s">
        <v>979</v>
      </c>
      <c r="Q12" t="s">
        <v>969</v>
      </c>
    </row>
    <row r="13" spans="1:18" x14ac:dyDescent="0.25">
      <c r="A13" s="1">
        <v>42694</v>
      </c>
      <c r="B13" t="s">
        <v>153</v>
      </c>
      <c r="C13" t="s">
        <v>58</v>
      </c>
      <c r="D13" t="s">
        <v>83</v>
      </c>
      <c r="E13" t="s">
        <v>62</v>
      </c>
      <c r="F13" t="s">
        <v>43</v>
      </c>
      <c r="G13" t="s">
        <v>4</v>
      </c>
      <c r="H13">
        <v>1</v>
      </c>
      <c r="I13">
        <v>1</v>
      </c>
      <c r="J13" t="s">
        <v>14</v>
      </c>
      <c r="K13" s="57">
        <v>65</v>
      </c>
      <c r="L13" s="2">
        <v>34884</v>
      </c>
      <c r="M13" t="s">
        <v>970</v>
      </c>
      <c r="N13" s="1">
        <v>37714</v>
      </c>
      <c r="O13" s="1">
        <v>37015</v>
      </c>
      <c r="P13" t="s">
        <v>974</v>
      </c>
      <c r="Q13" t="s">
        <v>969</v>
      </c>
    </row>
    <row r="14" spans="1:18" x14ac:dyDescent="0.25">
      <c r="A14" s="1">
        <v>42700</v>
      </c>
      <c r="B14" t="s">
        <v>156</v>
      </c>
      <c r="C14" t="s">
        <v>58</v>
      </c>
      <c r="D14" t="s">
        <v>84</v>
      </c>
      <c r="E14" t="s">
        <v>64</v>
      </c>
      <c r="F14" t="s">
        <v>44</v>
      </c>
      <c r="G14" t="s">
        <v>19</v>
      </c>
      <c r="H14">
        <v>1</v>
      </c>
      <c r="I14">
        <v>2</v>
      </c>
      <c r="J14" t="s">
        <v>2</v>
      </c>
      <c r="K14" s="57">
        <v>41</v>
      </c>
      <c r="L14" s="2">
        <v>31901</v>
      </c>
      <c r="M14" t="s">
        <v>970</v>
      </c>
      <c r="N14" t="s">
        <v>983</v>
      </c>
      <c r="O14" t="s">
        <v>984</v>
      </c>
      <c r="P14" t="s">
        <v>985</v>
      </c>
      <c r="Q14" t="s">
        <v>969</v>
      </c>
    </row>
    <row r="15" spans="1:18" x14ac:dyDescent="0.25">
      <c r="A15" s="1">
        <v>42703</v>
      </c>
      <c r="B15" t="s">
        <v>155</v>
      </c>
      <c r="C15" t="s">
        <v>76</v>
      </c>
      <c r="D15" t="s">
        <v>77</v>
      </c>
      <c r="E15" t="s">
        <v>69</v>
      </c>
      <c r="F15" t="s">
        <v>44</v>
      </c>
      <c r="G15" t="s">
        <v>18</v>
      </c>
      <c r="H15">
        <v>3</v>
      </c>
      <c r="I15">
        <v>1</v>
      </c>
      <c r="J15" t="s">
        <v>82</v>
      </c>
      <c r="L15" s="2">
        <v>6780</v>
      </c>
      <c r="P15" t="s">
        <v>975</v>
      </c>
      <c r="Q15" t="s">
        <v>969</v>
      </c>
      <c r="R15" t="s">
        <v>986</v>
      </c>
    </row>
    <row r="16" spans="1:18" x14ac:dyDescent="0.25">
      <c r="A16" s="1">
        <v>42708</v>
      </c>
      <c r="B16" t="s">
        <v>156</v>
      </c>
      <c r="C16" t="s">
        <v>58</v>
      </c>
      <c r="D16" t="s">
        <v>86</v>
      </c>
      <c r="E16" t="s">
        <v>62</v>
      </c>
      <c r="F16" t="s">
        <v>43</v>
      </c>
      <c r="G16" t="s">
        <v>4</v>
      </c>
      <c r="H16">
        <v>2</v>
      </c>
      <c r="I16">
        <v>2</v>
      </c>
      <c r="J16" t="s">
        <v>70</v>
      </c>
      <c r="K16" s="57">
        <v>39</v>
      </c>
      <c r="L16" s="2">
        <v>23121</v>
      </c>
      <c r="M16" t="s">
        <v>973</v>
      </c>
      <c r="N16" s="1">
        <v>37320</v>
      </c>
      <c r="O16" t="s">
        <v>971</v>
      </c>
      <c r="P16" t="s">
        <v>987</v>
      </c>
      <c r="Q16" t="s">
        <v>969</v>
      </c>
    </row>
    <row r="17" spans="1:18" x14ac:dyDescent="0.25">
      <c r="A17" s="1">
        <v>42714</v>
      </c>
      <c r="B17" t="s">
        <v>153</v>
      </c>
      <c r="C17" t="s">
        <v>58</v>
      </c>
      <c r="D17" t="s">
        <v>87</v>
      </c>
      <c r="E17" t="s">
        <v>64</v>
      </c>
      <c r="F17" t="s">
        <v>44</v>
      </c>
      <c r="G17" t="s">
        <v>19</v>
      </c>
      <c r="H17">
        <v>2</v>
      </c>
      <c r="I17">
        <v>3</v>
      </c>
      <c r="J17" t="s">
        <v>49</v>
      </c>
      <c r="K17" s="57">
        <v>36</v>
      </c>
      <c r="L17" s="2">
        <v>22817</v>
      </c>
      <c r="M17" t="s">
        <v>973</v>
      </c>
      <c r="N17" s="1">
        <v>37714</v>
      </c>
      <c r="O17" s="1">
        <v>37714</v>
      </c>
      <c r="P17" t="s">
        <v>988</v>
      </c>
      <c r="Q17" t="s">
        <v>969</v>
      </c>
    </row>
    <row r="18" spans="1:18" x14ac:dyDescent="0.25">
      <c r="A18" s="1">
        <v>42725</v>
      </c>
      <c r="B18" t="s">
        <v>181</v>
      </c>
      <c r="C18" t="s">
        <v>76</v>
      </c>
      <c r="D18" t="s">
        <v>77</v>
      </c>
      <c r="E18" t="s">
        <v>92</v>
      </c>
      <c r="F18" t="s">
        <v>43</v>
      </c>
      <c r="G18" t="s">
        <v>18</v>
      </c>
      <c r="H18">
        <v>2</v>
      </c>
      <c r="I18">
        <v>1</v>
      </c>
      <c r="J18" t="s">
        <v>82</v>
      </c>
      <c r="L18" s="2">
        <v>22041</v>
      </c>
      <c r="P18" t="s">
        <v>989</v>
      </c>
      <c r="Q18" t="s">
        <v>969</v>
      </c>
      <c r="R18" t="s">
        <v>990</v>
      </c>
    </row>
    <row r="19" spans="1:18" x14ac:dyDescent="0.25">
      <c r="A19" s="1">
        <v>42738</v>
      </c>
      <c r="B19" t="s">
        <v>162</v>
      </c>
      <c r="C19" t="s">
        <v>76</v>
      </c>
      <c r="D19" t="s">
        <v>91</v>
      </c>
      <c r="E19" t="s">
        <v>69</v>
      </c>
      <c r="F19" t="s">
        <v>43</v>
      </c>
      <c r="G19" t="s">
        <v>19</v>
      </c>
      <c r="H19">
        <v>1</v>
      </c>
      <c r="I19">
        <v>4</v>
      </c>
      <c r="J19" t="s">
        <v>50</v>
      </c>
      <c r="L19" s="2">
        <v>33958</v>
      </c>
      <c r="P19" t="s">
        <v>988</v>
      </c>
      <c r="Q19" t="s">
        <v>969</v>
      </c>
      <c r="R19" t="s">
        <v>986</v>
      </c>
    </row>
    <row r="20" spans="1:18" x14ac:dyDescent="0.25">
      <c r="A20" s="1">
        <v>42744</v>
      </c>
      <c r="B20" t="s">
        <v>156</v>
      </c>
      <c r="C20" t="s">
        <v>58</v>
      </c>
      <c r="D20" t="s">
        <v>90</v>
      </c>
      <c r="E20" t="s">
        <v>117</v>
      </c>
      <c r="F20" t="s">
        <v>44</v>
      </c>
      <c r="G20" t="s">
        <v>4</v>
      </c>
      <c r="H20">
        <v>3</v>
      </c>
      <c r="I20">
        <v>3</v>
      </c>
      <c r="J20" t="s">
        <v>9</v>
      </c>
      <c r="K20" s="57">
        <v>52</v>
      </c>
      <c r="L20" s="2">
        <v>12160</v>
      </c>
      <c r="M20" t="s">
        <v>970</v>
      </c>
      <c r="N20" t="s">
        <v>971</v>
      </c>
      <c r="O20" t="s">
        <v>983</v>
      </c>
      <c r="P20" t="s">
        <v>991</v>
      </c>
      <c r="Q20" t="s">
        <v>969</v>
      </c>
    </row>
    <row r="21" spans="1:18" x14ac:dyDescent="0.25">
      <c r="A21" s="1">
        <v>42747</v>
      </c>
      <c r="B21" t="s">
        <v>162</v>
      </c>
      <c r="C21" t="s">
        <v>76</v>
      </c>
      <c r="D21" t="s">
        <v>91</v>
      </c>
      <c r="E21" t="s">
        <v>85</v>
      </c>
      <c r="F21" t="s">
        <v>44</v>
      </c>
      <c r="G21" t="s">
        <v>19</v>
      </c>
      <c r="H21">
        <v>1</v>
      </c>
      <c r="I21">
        <v>2</v>
      </c>
      <c r="J21" t="s">
        <v>50</v>
      </c>
      <c r="L21" s="2">
        <v>9970</v>
      </c>
      <c r="P21" t="s">
        <v>974</v>
      </c>
      <c r="Q21" t="s">
        <v>969</v>
      </c>
      <c r="R21" t="s">
        <v>992</v>
      </c>
    </row>
    <row r="22" spans="1:18" x14ac:dyDescent="0.25">
      <c r="A22" t="s">
        <v>0</v>
      </c>
      <c r="B22" t="s">
        <v>1</v>
      </c>
      <c r="C22" t="s">
        <v>16</v>
      </c>
      <c r="D22" t="s">
        <v>51</v>
      </c>
      <c r="E22" t="s">
        <v>52</v>
      </c>
      <c r="F22" t="s">
        <v>53</v>
      </c>
      <c r="G22" t="s">
        <v>54</v>
      </c>
      <c r="H22" t="s">
        <v>20</v>
      </c>
      <c r="I22" t="s">
        <v>21</v>
      </c>
      <c r="J22" t="s">
        <v>45</v>
      </c>
      <c r="L22" t="s">
        <v>24</v>
      </c>
      <c r="M22" t="s">
        <v>965</v>
      </c>
      <c r="N22" t="s">
        <v>966</v>
      </c>
      <c r="O22" t="s">
        <v>967</v>
      </c>
      <c r="P22" t="s">
        <v>968</v>
      </c>
      <c r="Q22" t="s">
        <v>969</v>
      </c>
      <c r="R22" t="s">
        <v>27</v>
      </c>
    </row>
    <row r="23" spans="1:18" x14ac:dyDescent="0.25">
      <c r="A23" s="1">
        <v>42750</v>
      </c>
      <c r="B23" t="s">
        <v>168</v>
      </c>
      <c r="C23" t="s">
        <v>58</v>
      </c>
      <c r="D23" t="s">
        <v>93</v>
      </c>
      <c r="E23" t="s">
        <v>62</v>
      </c>
      <c r="F23" t="s">
        <v>43</v>
      </c>
      <c r="G23" t="s">
        <v>18</v>
      </c>
      <c r="H23">
        <v>2</v>
      </c>
      <c r="I23">
        <v>1</v>
      </c>
      <c r="J23" t="s">
        <v>48</v>
      </c>
      <c r="K23" s="57">
        <v>55</v>
      </c>
      <c r="L23" s="2">
        <v>33932</v>
      </c>
      <c r="M23" t="s">
        <v>970</v>
      </c>
      <c r="N23" s="1">
        <v>37714</v>
      </c>
      <c r="O23" t="s">
        <v>971</v>
      </c>
      <c r="P23" t="s">
        <v>993</v>
      </c>
      <c r="Q23" t="s">
        <v>969</v>
      </c>
    </row>
    <row r="24" spans="1:18" x14ac:dyDescent="0.25">
      <c r="A24" s="1">
        <v>42756</v>
      </c>
      <c r="B24" t="s">
        <v>156</v>
      </c>
      <c r="C24" t="s">
        <v>58</v>
      </c>
      <c r="D24" t="s">
        <v>94</v>
      </c>
      <c r="E24" t="s">
        <v>64</v>
      </c>
      <c r="F24" t="s">
        <v>44</v>
      </c>
      <c r="G24" t="s">
        <v>18</v>
      </c>
      <c r="H24">
        <v>2</v>
      </c>
      <c r="I24">
        <v>0</v>
      </c>
      <c r="J24" t="s">
        <v>10</v>
      </c>
      <c r="K24" s="57">
        <v>40</v>
      </c>
      <c r="L24" s="2">
        <v>17615</v>
      </c>
      <c r="M24" t="s">
        <v>970</v>
      </c>
      <c r="N24" s="1">
        <v>37714</v>
      </c>
      <c r="O24" s="1">
        <v>37350</v>
      </c>
      <c r="P24" t="s">
        <v>975</v>
      </c>
      <c r="Q24" t="s">
        <v>969</v>
      </c>
    </row>
    <row r="25" spans="1:18" x14ac:dyDescent="0.25">
      <c r="A25" s="1">
        <v>42765</v>
      </c>
      <c r="B25" t="s">
        <v>163</v>
      </c>
      <c r="C25" t="s">
        <v>58</v>
      </c>
      <c r="D25" t="s">
        <v>97</v>
      </c>
      <c r="E25" t="s">
        <v>117</v>
      </c>
      <c r="F25" t="s">
        <v>44</v>
      </c>
      <c r="G25" t="s">
        <v>19</v>
      </c>
      <c r="H25">
        <v>1</v>
      </c>
      <c r="I25">
        <v>3</v>
      </c>
      <c r="J25" t="s">
        <v>6</v>
      </c>
      <c r="K25" s="57">
        <v>37</v>
      </c>
      <c r="L25" s="2">
        <v>20427</v>
      </c>
      <c r="M25" t="s">
        <v>970</v>
      </c>
      <c r="N25" s="1">
        <v>37714</v>
      </c>
      <c r="O25" s="1">
        <v>37714</v>
      </c>
      <c r="P25" t="s">
        <v>977</v>
      </c>
      <c r="Q25" t="s">
        <v>969</v>
      </c>
    </row>
    <row r="26" spans="1:18" x14ac:dyDescent="0.25">
      <c r="A26" s="1">
        <v>42770</v>
      </c>
      <c r="B26" t="s">
        <v>156</v>
      </c>
      <c r="C26" t="s">
        <v>58</v>
      </c>
      <c r="D26" t="s">
        <v>98</v>
      </c>
      <c r="E26" t="s">
        <v>64</v>
      </c>
      <c r="F26" t="s">
        <v>43</v>
      </c>
      <c r="G26" t="s">
        <v>19</v>
      </c>
      <c r="H26">
        <v>0</v>
      </c>
      <c r="I26">
        <v>4</v>
      </c>
      <c r="J26" t="s">
        <v>89</v>
      </c>
      <c r="K26" s="57">
        <v>48</v>
      </c>
      <c r="L26" s="2">
        <v>32571</v>
      </c>
      <c r="M26" t="s">
        <v>38</v>
      </c>
      <c r="N26" s="1">
        <v>37714</v>
      </c>
      <c r="O26" t="s">
        <v>971</v>
      </c>
      <c r="P26" t="s">
        <v>981</v>
      </c>
      <c r="Q26" t="s">
        <v>969</v>
      </c>
    </row>
    <row r="27" spans="1:18" x14ac:dyDescent="0.25">
      <c r="A27" s="1">
        <v>42777</v>
      </c>
      <c r="B27" t="s">
        <v>154</v>
      </c>
      <c r="C27" t="s">
        <v>58</v>
      </c>
      <c r="D27" t="s">
        <v>100</v>
      </c>
      <c r="E27" t="s">
        <v>64</v>
      </c>
      <c r="F27" t="s">
        <v>44</v>
      </c>
      <c r="G27" t="s">
        <v>4</v>
      </c>
      <c r="H27">
        <v>0</v>
      </c>
      <c r="I27">
        <v>0</v>
      </c>
      <c r="J27" t="s">
        <v>11</v>
      </c>
      <c r="K27" s="57">
        <v>55</v>
      </c>
      <c r="L27" s="2">
        <v>30567</v>
      </c>
      <c r="M27" t="s">
        <v>973</v>
      </c>
      <c r="N27" t="s">
        <v>971</v>
      </c>
      <c r="O27" s="1">
        <v>37379</v>
      </c>
      <c r="P27" t="s">
        <v>994</v>
      </c>
      <c r="Q27" t="s">
        <v>969</v>
      </c>
    </row>
    <row r="28" spans="1:18" x14ac:dyDescent="0.25">
      <c r="A28" s="1">
        <v>42785</v>
      </c>
      <c r="B28" t="s">
        <v>153</v>
      </c>
      <c r="C28" t="s">
        <v>58</v>
      </c>
      <c r="D28" t="s">
        <v>101</v>
      </c>
      <c r="E28" t="s">
        <v>62</v>
      </c>
      <c r="F28" t="s">
        <v>43</v>
      </c>
      <c r="G28" t="s">
        <v>18</v>
      </c>
      <c r="H28">
        <v>2</v>
      </c>
      <c r="I28">
        <v>0</v>
      </c>
      <c r="J28" t="s">
        <v>73</v>
      </c>
      <c r="K28" s="57">
        <v>58</v>
      </c>
      <c r="L28" s="2">
        <v>36317</v>
      </c>
      <c r="M28" t="s">
        <v>970</v>
      </c>
      <c r="N28" t="s">
        <v>971</v>
      </c>
      <c r="O28" t="s">
        <v>971</v>
      </c>
      <c r="P28" t="s">
        <v>978</v>
      </c>
      <c r="Q28" t="s">
        <v>969</v>
      </c>
    </row>
    <row r="29" spans="1:18" x14ac:dyDescent="0.25">
      <c r="A29" s="1">
        <v>42788</v>
      </c>
      <c r="B29" t="s">
        <v>251</v>
      </c>
      <c r="C29" t="s">
        <v>58</v>
      </c>
      <c r="D29" t="s">
        <v>88</v>
      </c>
      <c r="E29" t="s">
        <v>92</v>
      </c>
      <c r="F29" t="s">
        <v>43</v>
      </c>
      <c r="G29" t="s">
        <v>18</v>
      </c>
      <c r="H29">
        <v>2</v>
      </c>
      <c r="I29">
        <v>1</v>
      </c>
      <c r="J29" t="s">
        <v>8</v>
      </c>
      <c r="K29" s="57">
        <v>29</v>
      </c>
      <c r="L29" s="2">
        <v>45833</v>
      </c>
      <c r="M29" t="s">
        <v>970</v>
      </c>
      <c r="N29" t="s">
        <v>971</v>
      </c>
      <c r="O29" s="1">
        <v>37714</v>
      </c>
      <c r="P29" t="s">
        <v>995</v>
      </c>
      <c r="Q29" t="s">
        <v>969</v>
      </c>
    </row>
    <row r="30" spans="1:18" x14ac:dyDescent="0.25">
      <c r="A30" s="1">
        <v>42791</v>
      </c>
      <c r="B30" t="s">
        <v>154</v>
      </c>
      <c r="C30" t="s">
        <v>58</v>
      </c>
      <c r="D30" t="s">
        <v>102</v>
      </c>
      <c r="E30" t="s">
        <v>64</v>
      </c>
      <c r="F30" t="s">
        <v>44</v>
      </c>
      <c r="G30" t="s">
        <v>19</v>
      </c>
      <c r="H30">
        <v>1</v>
      </c>
      <c r="I30">
        <v>2</v>
      </c>
      <c r="J30" t="s">
        <v>80</v>
      </c>
      <c r="K30" s="57">
        <v>56</v>
      </c>
      <c r="L30" s="2">
        <v>19118</v>
      </c>
      <c r="M30" t="s">
        <v>973</v>
      </c>
      <c r="N30" t="s">
        <v>971</v>
      </c>
      <c r="O30" t="s">
        <v>971</v>
      </c>
      <c r="P30" t="s">
        <v>989</v>
      </c>
      <c r="Q30" t="s">
        <v>969</v>
      </c>
    </row>
    <row r="31" spans="1:18" x14ac:dyDescent="0.25">
      <c r="A31" s="1">
        <v>42794</v>
      </c>
      <c r="B31" t="s">
        <v>160</v>
      </c>
      <c r="C31" t="s">
        <v>58</v>
      </c>
      <c r="D31" t="s">
        <v>103</v>
      </c>
      <c r="E31" t="s">
        <v>69</v>
      </c>
      <c r="F31" t="s">
        <v>43</v>
      </c>
      <c r="G31" t="s">
        <v>18</v>
      </c>
      <c r="H31">
        <v>1</v>
      </c>
      <c r="I31">
        <v>0</v>
      </c>
      <c r="J31" t="s">
        <v>82</v>
      </c>
      <c r="K31" s="57">
        <v>56</v>
      </c>
      <c r="L31" s="2">
        <v>26711</v>
      </c>
      <c r="M31" t="s">
        <v>970</v>
      </c>
      <c r="N31" s="1">
        <v>37714</v>
      </c>
      <c r="O31" t="s">
        <v>971</v>
      </c>
      <c r="P31" t="s">
        <v>972</v>
      </c>
      <c r="Q31" t="s">
        <v>969</v>
      </c>
    </row>
    <row r="32" spans="1:18" x14ac:dyDescent="0.25">
      <c r="A32" s="1">
        <v>42799</v>
      </c>
      <c r="B32" t="s">
        <v>153</v>
      </c>
      <c r="C32" t="s">
        <v>58</v>
      </c>
      <c r="D32" t="s">
        <v>104</v>
      </c>
      <c r="E32" t="s">
        <v>62</v>
      </c>
      <c r="F32" t="s">
        <v>44</v>
      </c>
      <c r="G32" t="s">
        <v>19</v>
      </c>
      <c r="H32">
        <v>0</v>
      </c>
      <c r="I32">
        <v>3</v>
      </c>
      <c r="J32" t="s">
        <v>65</v>
      </c>
      <c r="K32" s="57">
        <v>57</v>
      </c>
      <c r="L32" s="2">
        <v>46473</v>
      </c>
      <c r="M32" t="s">
        <v>970</v>
      </c>
      <c r="N32" s="1">
        <v>37714</v>
      </c>
      <c r="O32" s="1">
        <v>37350</v>
      </c>
      <c r="P32" t="s">
        <v>988</v>
      </c>
      <c r="Q32" t="s">
        <v>969</v>
      </c>
    </row>
    <row r="33" spans="1:17" x14ac:dyDescent="0.25">
      <c r="A33" s="1">
        <v>42805</v>
      </c>
      <c r="B33" t="s">
        <v>154</v>
      </c>
      <c r="C33" t="s">
        <v>58</v>
      </c>
      <c r="D33" t="s">
        <v>105</v>
      </c>
      <c r="E33" t="s">
        <v>64</v>
      </c>
      <c r="F33" t="s">
        <v>43</v>
      </c>
      <c r="G33" t="s">
        <v>4</v>
      </c>
      <c r="H33">
        <v>1</v>
      </c>
      <c r="I33">
        <v>1</v>
      </c>
      <c r="J33" t="s">
        <v>980</v>
      </c>
      <c r="K33" s="57">
        <v>59</v>
      </c>
      <c r="L33" s="2">
        <v>28785</v>
      </c>
      <c r="M33" t="s">
        <v>973</v>
      </c>
      <c r="N33" t="s">
        <v>971</v>
      </c>
      <c r="O33" s="1">
        <v>37714</v>
      </c>
      <c r="P33" t="s">
        <v>991</v>
      </c>
      <c r="Q33" t="s">
        <v>969</v>
      </c>
    </row>
    <row r="34" spans="1:17" x14ac:dyDescent="0.25">
      <c r="A34" s="1">
        <v>42813</v>
      </c>
      <c r="B34" t="s">
        <v>180</v>
      </c>
      <c r="C34" t="s">
        <v>58</v>
      </c>
      <c r="D34" t="s">
        <v>106</v>
      </c>
      <c r="E34" t="s">
        <v>62</v>
      </c>
      <c r="F34" t="s">
        <v>44</v>
      </c>
      <c r="G34" t="s">
        <v>19</v>
      </c>
      <c r="H34">
        <v>2</v>
      </c>
      <c r="I34">
        <v>4</v>
      </c>
      <c r="J34" t="s">
        <v>13</v>
      </c>
      <c r="K34" s="57">
        <v>28</v>
      </c>
      <c r="L34" s="2">
        <v>78675</v>
      </c>
      <c r="M34" t="s">
        <v>970</v>
      </c>
      <c r="N34" s="1">
        <v>37714</v>
      </c>
      <c r="O34" s="1">
        <v>37684</v>
      </c>
      <c r="P34" t="s">
        <v>974</v>
      </c>
      <c r="Q34" t="s">
        <v>969</v>
      </c>
    </row>
    <row r="35" spans="1:17" x14ac:dyDescent="0.25">
      <c r="A35" s="1">
        <v>42827</v>
      </c>
      <c r="B35" t="s">
        <v>157</v>
      </c>
      <c r="C35" t="s">
        <v>58</v>
      </c>
      <c r="D35" t="s">
        <v>107</v>
      </c>
      <c r="E35" t="s">
        <v>62</v>
      </c>
      <c r="F35" t="s">
        <v>43</v>
      </c>
      <c r="G35" t="s">
        <v>18</v>
      </c>
      <c r="H35">
        <v>3</v>
      </c>
      <c r="I35">
        <v>0</v>
      </c>
      <c r="J35" t="s">
        <v>95</v>
      </c>
      <c r="K35" s="57">
        <v>46</v>
      </c>
      <c r="L35" s="2">
        <v>34638</v>
      </c>
      <c r="M35" t="s">
        <v>970</v>
      </c>
      <c r="N35" t="s">
        <v>971</v>
      </c>
      <c r="O35" s="1">
        <v>37350</v>
      </c>
      <c r="P35" t="s">
        <v>995</v>
      </c>
      <c r="Q35" t="s">
        <v>969</v>
      </c>
    </row>
    <row r="36" spans="1:17" x14ac:dyDescent="0.25">
      <c r="A36" s="1">
        <v>42831</v>
      </c>
      <c r="B36" t="s">
        <v>160</v>
      </c>
      <c r="C36" t="s">
        <v>58</v>
      </c>
      <c r="D36" t="s">
        <v>108</v>
      </c>
      <c r="E36" t="s">
        <v>85</v>
      </c>
      <c r="F36" t="s">
        <v>43</v>
      </c>
      <c r="G36" t="s">
        <v>18</v>
      </c>
      <c r="H36">
        <v>3</v>
      </c>
      <c r="I36">
        <v>2</v>
      </c>
      <c r="J36" t="s">
        <v>50</v>
      </c>
      <c r="K36" s="57">
        <v>46</v>
      </c>
      <c r="L36" s="2">
        <v>29212</v>
      </c>
      <c r="M36" t="s">
        <v>970</v>
      </c>
      <c r="N36" t="s">
        <v>971</v>
      </c>
      <c r="O36" t="s">
        <v>971</v>
      </c>
      <c r="P36" t="s">
        <v>978</v>
      </c>
      <c r="Q36" t="s">
        <v>969</v>
      </c>
    </row>
    <row r="37" spans="1:17" x14ac:dyDescent="0.25">
      <c r="A37" s="1">
        <v>42834</v>
      </c>
      <c r="B37" t="s">
        <v>168</v>
      </c>
      <c r="C37" t="s">
        <v>58</v>
      </c>
      <c r="D37" t="s">
        <v>109</v>
      </c>
      <c r="E37" t="s">
        <v>62</v>
      </c>
      <c r="F37" t="s">
        <v>44</v>
      </c>
      <c r="G37" t="s">
        <v>18</v>
      </c>
      <c r="H37">
        <v>3</v>
      </c>
      <c r="I37">
        <v>1</v>
      </c>
      <c r="J37" t="s">
        <v>14</v>
      </c>
      <c r="K37" s="57">
        <v>52</v>
      </c>
      <c r="L37" s="2">
        <v>15087</v>
      </c>
      <c r="M37" t="s">
        <v>973</v>
      </c>
      <c r="N37" t="s">
        <v>971</v>
      </c>
      <c r="O37" t="s">
        <v>971</v>
      </c>
      <c r="P37" t="s">
        <v>972</v>
      </c>
      <c r="Q37" t="s">
        <v>969</v>
      </c>
    </row>
    <row r="38" spans="1:17" x14ac:dyDescent="0.25">
      <c r="A38" s="1">
        <v>42841</v>
      </c>
      <c r="B38" t="s">
        <v>153</v>
      </c>
      <c r="C38" t="s">
        <v>58</v>
      </c>
      <c r="D38" t="s">
        <v>110</v>
      </c>
      <c r="E38" t="s">
        <v>62</v>
      </c>
      <c r="F38" t="s">
        <v>43</v>
      </c>
      <c r="G38" t="s">
        <v>4</v>
      </c>
      <c r="H38">
        <v>0</v>
      </c>
      <c r="I38">
        <v>0</v>
      </c>
      <c r="J38" t="s">
        <v>2</v>
      </c>
      <c r="K38" s="57">
        <v>42</v>
      </c>
      <c r="L38" s="2">
        <v>36748</v>
      </c>
      <c r="M38" t="s">
        <v>970</v>
      </c>
      <c r="N38" t="s">
        <v>971</v>
      </c>
      <c r="O38" t="s">
        <v>971</v>
      </c>
      <c r="P38" t="s">
        <v>975</v>
      </c>
      <c r="Q38" t="s">
        <v>969</v>
      </c>
    </row>
    <row r="39" spans="1:17" x14ac:dyDescent="0.25">
      <c r="A39" s="1">
        <v>42847</v>
      </c>
      <c r="B39" t="s">
        <v>154</v>
      </c>
      <c r="C39" t="s">
        <v>58</v>
      </c>
      <c r="D39" t="s">
        <v>111</v>
      </c>
      <c r="E39" t="s">
        <v>64</v>
      </c>
      <c r="F39" t="s">
        <v>44</v>
      </c>
      <c r="G39" t="s">
        <v>19</v>
      </c>
      <c r="H39">
        <v>0</v>
      </c>
      <c r="I39">
        <v>2</v>
      </c>
      <c r="J39" t="s">
        <v>70</v>
      </c>
      <c r="K39" s="57">
        <v>47</v>
      </c>
      <c r="L39" s="2">
        <v>23089</v>
      </c>
      <c r="M39" t="s">
        <v>970</v>
      </c>
      <c r="N39" t="s">
        <v>971</v>
      </c>
      <c r="O39" t="s">
        <v>971</v>
      </c>
      <c r="P39" t="s">
        <v>987</v>
      </c>
      <c r="Q39" t="s">
        <v>969</v>
      </c>
    </row>
    <row r="40" spans="1:17" x14ac:dyDescent="0.25">
      <c r="A40" s="1">
        <v>42851</v>
      </c>
      <c r="B40" t="s">
        <v>158</v>
      </c>
      <c r="C40" t="s">
        <v>58</v>
      </c>
      <c r="D40" t="s">
        <v>112</v>
      </c>
      <c r="E40" t="s">
        <v>92</v>
      </c>
      <c r="F40" t="s">
        <v>43</v>
      </c>
      <c r="G40" t="s">
        <v>19</v>
      </c>
      <c r="H40">
        <v>2</v>
      </c>
      <c r="I40">
        <v>3</v>
      </c>
      <c r="J40" t="s">
        <v>49</v>
      </c>
      <c r="K40" s="57">
        <v>47</v>
      </c>
      <c r="L40" s="2">
        <v>26101</v>
      </c>
      <c r="M40" t="s">
        <v>970</v>
      </c>
      <c r="N40" t="s">
        <v>971</v>
      </c>
      <c r="O40" s="1">
        <v>37714</v>
      </c>
      <c r="P40" t="s">
        <v>985</v>
      </c>
      <c r="Q40" t="s">
        <v>969</v>
      </c>
    </row>
    <row r="41" spans="1:17" x14ac:dyDescent="0.25">
      <c r="A41" s="1">
        <v>42854</v>
      </c>
      <c r="B41" t="s">
        <v>153</v>
      </c>
      <c r="C41" t="s">
        <v>58</v>
      </c>
      <c r="D41" t="s">
        <v>113</v>
      </c>
      <c r="E41" t="s">
        <v>64</v>
      </c>
      <c r="F41" t="s">
        <v>44</v>
      </c>
      <c r="G41" t="s">
        <v>19</v>
      </c>
      <c r="H41">
        <v>1</v>
      </c>
      <c r="I41">
        <v>2</v>
      </c>
      <c r="J41" t="s">
        <v>8</v>
      </c>
      <c r="K41" s="57">
        <v>40</v>
      </c>
      <c r="L41" s="2">
        <v>75180</v>
      </c>
      <c r="M41" t="s">
        <v>973</v>
      </c>
      <c r="N41" t="s">
        <v>971</v>
      </c>
      <c r="O41" s="1">
        <v>37714</v>
      </c>
      <c r="P41" t="s">
        <v>976</v>
      </c>
      <c r="Q41" t="s">
        <v>969</v>
      </c>
    </row>
    <row r="42" spans="1:17" x14ac:dyDescent="0.25">
      <c r="A42" s="1">
        <v>42862</v>
      </c>
      <c r="B42" t="s">
        <v>153</v>
      </c>
      <c r="C42" t="s">
        <v>58</v>
      </c>
      <c r="D42" t="s">
        <v>114</v>
      </c>
      <c r="E42" t="s">
        <v>62</v>
      </c>
      <c r="F42" t="s">
        <v>43</v>
      </c>
      <c r="G42" t="s">
        <v>18</v>
      </c>
      <c r="H42">
        <v>4</v>
      </c>
      <c r="I42">
        <v>1</v>
      </c>
      <c r="J42" t="s">
        <v>9</v>
      </c>
      <c r="K42" s="57">
        <v>64</v>
      </c>
      <c r="L42" s="2">
        <v>24752</v>
      </c>
      <c r="M42" t="s">
        <v>970</v>
      </c>
      <c r="N42" t="s">
        <v>971</v>
      </c>
      <c r="O42" s="1">
        <v>37379</v>
      </c>
      <c r="P42" t="s">
        <v>979</v>
      </c>
      <c r="Q42" t="s">
        <v>969</v>
      </c>
    </row>
    <row r="43" spans="1:17" x14ac:dyDescent="0.25">
      <c r="A43" s="1">
        <v>42868</v>
      </c>
      <c r="B43" t="s">
        <v>228</v>
      </c>
      <c r="C43" t="s">
        <v>58</v>
      </c>
      <c r="D43" t="s">
        <v>115</v>
      </c>
      <c r="E43" t="s">
        <v>64</v>
      </c>
      <c r="F43" t="s">
        <v>44</v>
      </c>
      <c r="G43" t="s">
        <v>18</v>
      </c>
      <c r="H43">
        <v>1</v>
      </c>
      <c r="I43">
        <v>0</v>
      </c>
      <c r="J43" t="s">
        <v>48</v>
      </c>
      <c r="K43" s="57">
        <v>50</v>
      </c>
      <c r="L43" s="2">
        <v>20111</v>
      </c>
      <c r="M43" t="s">
        <v>973</v>
      </c>
      <c r="N43" t="s">
        <v>971</v>
      </c>
      <c r="O43" s="1">
        <v>37350</v>
      </c>
      <c r="P43" t="s">
        <v>996</v>
      </c>
      <c r="Q43" t="s">
        <v>969</v>
      </c>
    </row>
    <row r="44" spans="1:17" x14ac:dyDescent="0.25">
      <c r="A44" s="1">
        <v>42876</v>
      </c>
      <c r="B44" t="s">
        <v>997</v>
      </c>
      <c r="C44" t="s">
        <v>58</v>
      </c>
      <c r="D44" t="s">
        <v>116</v>
      </c>
      <c r="E44" t="s">
        <v>62</v>
      </c>
      <c r="F44" t="s">
        <v>43</v>
      </c>
      <c r="G44" t="s">
        <v>19</v>
      </c>
      <c r="H44">
        <v>1</v>
      </c>
      <c r="I44">
        <v>3</v>
      </c>
      <c r="J44" t="s">
        <v>10</v>
      </c>
      <c r="K44" s="57">
        <v>5</v>
      </c>
    </row>
    <row r="46" spans="1:17" x14ac:dyDescent="0.25">
      <c r="K46" s="57">
        <f>AVERAGE(K2:K44)</f>
        <v>47.5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DD23-763E-4E96-95DD-3AB9003ECD13}">
  <dimension ref="A1:R119"/>
  <sheetViews>
    <sheetView workbookViewId="0">
      <selection activeCell="K3" sqref="K3"/>
    </sheetView>
  </sheetViews>
  <sheetFormatPr defaultRowHeight="15" x14ac:dyDescent="0.25"/>
  <cols>
    <col min="1" max="2" width="10.7109375" customWidth="1"/>
    <col min="3" max="3" width="7.42578125" customWidth="1"/>
    <col min="5" max="5" width="6.42578125" customWidth="1"/>
    <col min="6" max="6" width="4.7109375" customWidth="1"/>
    <col min="7" max="7" width="6.85546875" customWidth="1"/>
    <col min="21" max="21" width="8.85546875" customWidth="1"/>
  </cols>
  <sheetData>
    <row r="1" spans="1:18" x14ac:dyDescent="0.25">
      <c r="A1" t="s">
        <v>148</v>
      </c>
    </row>
    <row r="2" spans="1:18" x14ac:dyDescent="0.25">
      <c r="A2" t="s">
        <v>149</v>
      </c>
    </row>
    <row r="3" spans="1:18" x14ac:dyDescent="0.25">
      <c r="A3" t="s">
        <v>150</v>
      </c>
      <c r="K3" t="s">
        <v>963</v>
      </c>
    </row>
    <row r="4" spans="1:18" x14ac:dyDescent="0.25">
      <c r="A4" t="s">
        <v>151</v>
      </c>
    </row>
    <row r="6" spans="1:18" x14ac:dyDescent="0.25">
      <c r="A6" t="s">
        <v>571</v>
      </c>
    </row>
    <row r="7" spans="1:18" x14ac:dyDescent="0.25">
      <c r="A7" s="4" t="s">
        <v>0</v>
      </c>
      <c r="B7" t="s">
        <v>53</v>
      </c>
      <c r="C7" t="s">
        <v>54</v>
      </c>
      <c r="D7" t="s">
        <v>20</v>
      </c>
      <c r="E7" t="s">
        <v>21</v>
      </c>
      <c r="F7" t="s">
        <v>55</v>
      </c>
      <c r="G7" t="s">
        <v>56</v>
      </c>
      <c r="H7" t="s">
        <v>57</v>
      </c>
      <c r="I7" t="s">
        <v>24</v>
      </c>
      <c r="M7" t="s">
        <v>566</v>
      </c>
    </row>
    <row r="8" spans="1:18" x14ac:dyDescent="0.25">
      <c r="A8" s="4">
        <v>42965</v>
      </c>
      <c r="B8" t="s">
        <v>43</v>
      </c>
      <c r="C8" t="s">
        <v>18</v>
      </c>
      <c r="D8">
        <v>1</v>
      </c>
      <c r="E8">
        <v>0</v>
      </c>
      <c r="F8">
        <v>1.4</v>
      </c>
      <c r="G8">
        <v>0.2</v>
      </c>
      <c r="H8">
        <v>47</v>
      </c>
      <c r="I8" s="2">
        <v>35971</v>
      </c>
      <c r="J8" s="2"/>
      <c r="M8">
        <v>0</v>
      </c>
      <c r="Q8" s="1"/>
    </row>
    <row r="9" spans="1:18" x14ac:dyDescent="0.25">
      <c r="A9" s="4">
        <v>42974</v>
      </c>
      <c r="B9" t="s">
        <v>44</v>
      </c>
      <c r="C9" t="s">
        <v>4</v>
      </c>
      <c r="D9">
        <v>2</v>
      </c>
      <c r="E9">
        <v>2</v>
      </c>
      <c r="F9">
        <v>0.9</v>
      </c>
      <c r="G9">
        <v>3.2</v>
      </c>
      <c r="H9">
        <v>34</v>
      </c>
      <c r="I9" s="2">
        <v>65107</v>
      </c>
      <c r="J9" s="2"/>
      <c r="M9">
        <v>0</v>
      </c>
      <c r="Q9" s="1"/>
      <c r="R9" s="1"/>
    </row>
    <row r="10" spans="1:18" x14ac:dyDescent="0.25">
      <c r="A10" s="4">
        <v>42987</v>
      </c>
      <c r="B10" t="s">
        <v>43</v>
      </c>
      <c r="C10" t="s">
        <v>4</v>
      </c>
      <c r="D10">
        <v>0</v>
      </c>
      <c r="E10">
        <v>0</v>
      </c>
      <c r="F10">
        <v>0.5</v>
      </c>
      <c r="G10">
        <v>0.6</v>
      </c>
      <c r="H10">
        <v>49</v>
      </c>
      <c r="I10" s="2">
        <v>43859</v>
      </c>
      <c r="J10" s="2"/>
      <c r="M10">
        <v>0</v>
      </c>
      <c r="Q10" s="1"/>
      <c r="R10" s="1"/>
    </row>
    <row r="11" spans="1:18" x14ac:dyDescent="0.25">
      <c r="A11" s="4">
        <v>42994</v>
      </c>
      <c r="B11" t="s">
        <v>44</v>
      </c>
      <c r="C11" t="s">
        <v>4</v>
      </c>
      <c r="D11">
        <v>1</v>
      </c>
      <c r="E11">
        <v>1</v>
      </c>
      <c r="F11">
        <v>1.7</v>
      </c>
      <c r="G11">
        <v>0.9</v>
      </c>
      <c r="H11">
        <v>53</v>
      </c>
      <c r="I11" s="2">
        <v>23084</v>
      </c>
      <c r="J11" s="2"/>
      <c r="M11">
        <v>0</v>
      </c>
      <c r="Q11" s="1"/>
    </row>
    <row r="12" spans="1:18" x14ac:dyDescent="0.25">
      <c r="A12" s="4">
        <v>42997</v>
      </c>
      <c r="B12" t="s">
        <v>43</v>
      </c>
      <c r="C12" t="s">
        <v>18</v>
      </c>
      <c r="D12">
        <v>5</v>
      </c>
      <c r="E12">
        <v>0</v>
      </c>
      <c r="F12">
        <v>3</v>
      </c>
      <c r="G12">
        <v>0.8</v>
      </c>
      <c r="H12">
        <v>49</v>
      </c>
      <c r="I12" s="2">
        <v>36215</v>
      </c>
      <c r="J12" s="2"/>
      <c r="M12">
        <v>0</v>
      </c>
      <c r="Q12" s="1"/>
    </row>
    <row r="13" spans="1:18" x14ac:dyDescent="0.25">
      <c r="A13" s="4">
        <v>43002</v>
      </c>
      <c r="B13" t="s">
        <v>44</v>
      </c>
      <c r="C13" t="s">
        <v>18</v>
      </c>
      <c r="D13">
        <v>3</v>
      </c>
      <c r="E13">
        <v>2</v>
      </c>
      <c r="F13">
        <v>1.8</v>
      </c>
      <c r="G13">
        <v>1.1000000000000001</v>
      </c>
      <c r="H13">
        <v>42</v>
      </c>
      <c r="I13" s="2">
        <v>20266</v>
      </c>
      <c r="J13" s="2"/>
      <c r="M13">
        <v>0</v>
      </c>
      <c r="Q13" s="1"/>
    </row>
    <row r="14" spans="1:18" x14ac:dyDescent="0.25">
      <c r="A14" s="4">
        <v>43009</v>
      </c>
      <c r="B14" t="s">
        <v>43</v>
      </c>
      <c r="C14" t="s">
        <v>18</v>
      </c>
      <c r="D14">
        <v>3</v>
      </c>
      <c r="E14">
        <v>2</v>
      </c>
      <c r="F14">
        <v>2.6</v>
      </c>
      <c r="G14">
        <v>2.2000000000000002</v>
      </c>
      <c r="H14">
        <v>40</v>
      </c>
      <c r="I14" s="2">
        <v>42070</v>
      </c>
      <c r="J14" s="2"/>
      <c r="M14">
        <v>0</v>
      </c>
      <c r="Q14" s="1"/>
    </row>
    <row r="15" spans="1:18" x14ac:dyDescent="0.25">
      <c r="A15" s="4">
        <v>43023</v>
      </c>
      <c r="B15" t="s">
        <v>44</v>
      </c>
      <c r="C15" t="s">
        <v>18</v>
      </c>
      <c r="D15">
        <v>6</v>
      </c>
      <c r="E15">
        <v>3</v>
      </c>
      <c r="F15">
        <v>1.7</v>
      </c>
      <c r="G15">
        <v>2.6</v>
      </c>
      <c r="H15">
        <v>41</v>
      </c>
      <c r="I15" s="2">
        <v>48792</v>
      </c>
      <c r="J15" s="2"/>
      <c r="M15">
        <v>0</v>
      </c>
      <c r="Q15" s="1"/>
      <c r="R15" s="1"/>
    </row>
    <row r="16" spans="1:18" x14ac:dyDescent="0.25">
      <c r="A16" s="4">
        <v>43029</v>
      </c>
      <c r="B16" t="s">
        <v>43</v>
      </c>
      <c r="C16" t="s">
        <v>18</v>
      </c>
      <c r="D16">
        <v>4</v>
      </c>
      <c r="E16">
        <v>0</v>
      </c>
      <c r="F16">
        <v>2.2000000000000002</v>
      </c>
      <c r="G16">
        <v>0.8</v>
      </c>
      <c r="H16">
        <v>52</v>
      </c>
      <c r="I16" s="2">
        <v>44307</v>
      </c>
      <c r="J16" s="2"/>
      <c r="M16">
        <v>0</v>
      </c>
      <c r="Q16" s="1"/>
    </row>
    <row r="17" spans="1:18" x14ac:dyDescent="0.25">
      <c r="A17" s="4">
        <v>43032</v>
      </c>
      <c r="B17" t="s">
        <v>44</v>
      </c>
      <c r="C17" t="s">
        <v>18</v>
      </c>
      <c r="D17">
        <v>2</v>
      </c>
      <c r="E17">
        <v>0</v>
      </c>
      <c r="I17" s="2">
        <v>16174</v>
      </c>
      <c r="J17" s="2"/>
      <c r="M17">
        <v>0</v>
      </c>
    </row>
    <row r="18" spans="1:18" x14ac:dyDescent="0.25">
      <c r="A18" s="4">
        <v>43036</v>
      </c>
      <c r="B18" t="s">
        <v>44</v>
      </c>
      <c r="C18" t="s">
        <v>18</v>
      </c>
      <c r="D18">
        <v>2</v>
      </c>
      <c r="E18">
        <v>1</v>
      </c>
      <c r="F18">
        <v>1</v>
      </c>
      <c r="G18">
        <v>0.9</v>
      </c>
      <c r="H18">
        <v>55</v>
      </c>
      <c r="I18" s="2">
        <v>18638</v>
      </c>
      <c r="J18" s="2"/>
      <c r="M18">
        <v>0</v>
      </c>
      <c r="Q18" s="1"/>
      <c r="R18" s="1"/>
    </row>
    <row r="19" spans="1:18" x14ac:dyDescent="0.25">
      <c r="A19" s="4">
        <v>43043</v>
      </c>
      <c r="B19" t="s">
        <v>43</v>
      </c>
      <c r="C19" t="s">
        <v>18</v>
      </c>
      <c r="D19">
        <v>3</v>
      </c>
      <c r="E19">
        <v>0</v>
      </c>
      <c r="F19">
        <v>2.2000000000000002</v>
      </c>
      <c r="G19">
        <v>1.2</v>
      </c>
      <c r="H19">
        <v>57</v>
      </c>
      <c r="I19" s="2">
        <v>39694</v>
      </c>
      <c r="J19" s="2"/>
      <c r="M19">
        <v>0</v>
      </c>
      <c r="Q19" s="1"/>
    </row>
    <row r="20" spans="1:18" x14ac:dyDescent="0.25">
      <c r="A20" s="4">
        <v>43058</v>
      </c>
      <c r="B20" t="s">
        <v>44</v>
      </c>
      <c r="C20" t="s">
        <v>18</v>
      </c>
      <c r="D20">
        <v>2</v>
      </c>
      <c r="E20">
        <v>0</v>
      </c>
      <c r="F20">
        <v>1</v>
      </c>
      <c r="G20">
        <v>1.1000000000000001</v>
      </c>
      <c r="H20">
        <v>53</v>
      </c>
      <c r="I20" s="2">
        <v>25529</v>
      </c>
      <c r="J20" s="2"/>
      <c r="M20">
        <v>0</v>
      </c>
      <c r="Q20" s="1"/>
      <c r="R20" s="1"/>
    </row>
    <row r="21" spans="1:18" x14ac:dyDescent="0.25">
      <c r="A21" s="4">
        <v>43065</v>
      </c>
      <c r="B21" t="s">
        <v>43</v>
      </c>
      <c r="C21" t="s">
        <v>4</v>
      </c>
      <c r="D21">
        <v>1</v>
      </c>
      <c r="E21">
        <v>1</v>
      </c>
      <c r="F21">
        <v>1.2</v>
      </c>
      <c r="G21">
        <v>1</v>
      </c>
      <c r="H21">
        <v>31</v>
      </c>
      <c r="I21" s="2">
        <v>47775</v>
      </c>
      <c r="J21" s="2"/>
      <c r="M21">
        <v>0</v>
      </c>
      <c r="Q21" s="1"/>
      <c r="R21" s="1"/>
    </row>
    <row r="22" spans="1:18" x14ac:dyDescent="0.25">
      <c r="A22" s="4">
        <v>43069</v>
      </c>
      <c r="B22" t="s">
        <v>43</v>
      </c>
      <c r="C22" t="s">
        <v>18</v>
      </c>
      <c r="D22">
        <v>4</v>
      </c>
      <c r="E22">
        <v>1</v>
      </c>
      <c r="I22" s="2">
        <v>26311</v>
      </c>
      <c r="J22" s="2"/>
      <c r="M22">
        <v>0</v>
      </c>
    </row>
    <row r="23" spans="1:18" x14ac:dyDescent="0.25">
      <c r="A23" s="4">
        <v>43072</v>
      </c>
      <c r="B23" t="s">
        <v>44</v>
      </c>
      <c r="C23" t="s">
        <v>19</v>
      </c>
      <c r="D23">
        <v>0</v>
      </c>
      <c r="E23">
        <v>1</v>
      </c>
      <c r="F23">
        <v>0.9</v>
      </c>
      <c r="G23">
        <v>0.9</v>
      </c>
      <c r="H23">
        <v>66</v>
      </c>
      <c r="I23" s="2">
        <v>12480</v>
      </c>
      <c r="J23" s="2"/>
      <c r="M23">
        <v>1</v>
      </c>
      <c r="Q23" s="1"/>
      <c r="R23" s="1"/>
    </row>
    <row r="24" spans="1:18" x14ac:dyDescent="0.25">
      <c r="A24" s="4">
        <v>43078</v>
      </c>
      <c r="B24" t="s">
        <v>43</v>
      </c>
      <c r="C24" t="s">
        <v>18</v>
      </c>
      <c r="D24">
        <v>2</v>
      </c>
      <c r="E24">
        <v>1</v>
      </c>
      <c r="F24">
        <v>1.6</v>
      </c>
      <c r="G24">
        <v>1.2</v>
      </c>
      <c r="H24">
        <v>39</v>
      </c>
      <c r="I24" s="2">
        <v>35633</v>
      </c>
      <c r="J24" s="2"/>
      <c r="M24">
        <v>0</v>
      </c>
      <c r="Q24" s="1"/>
      <c r="R24" s="1"/>
    </row>
    <row r="25" spans="1:18" x14ac:dyDescent="0.25">
      <c r="A25" s="4">
        <v>43085</v>
      </c>
      <c r="B25" t="s">
        <v>44</v>
      </c>
      <c r="C25" t="s">
        <v>19</v>
      </c>
      <c r="D25">
        <v>1</v>
      </c>
      <c r="E25">
        <v>2</v>
      </c>
      <c r="F25">
        <v>0.9</v>
      </c>
      <c r="G25">
        <v>0.7</v>
      </c>
      <c r="H25">
        <v>49</v>
      </c>
      <c r="I25" s="2">
        <v>5219</v>
      </c>
      <c r="J25" s="2"/>
      <c r="M25">
        <v>0</v>
      </c>
      <c r="Q25" s="1"/>
      <c r="R25" s="1"/>
    </row>
    <row r="26" spans="1:18" x14ac:dyDescent="0.25">
      <c r="A26" s="4">
        <v>43092</v>
      </c>
      <c r="B26" t="s">
        <v>43</v>
      </c>
      <c r="C26" t="s">
        <v>19</v>
      </c>
      <c r="D26">
        <v>0</v>
      </c>
      <c r="E26">
        <v>1</v>
      </c>
      <c r="F26">
        <v>1.9</v>
      </c>
      <c r="G26">
        <v>1.1000000000000001</v>
      </c>
      <c r="H26">
        <v>55</v>
      </c>
      <c r="I26" s="2">
        <v>39181</v>
      </c>
      <c r="J26" s="2"/>
      <c r="M26">
        <v>0</v>
      </c>
      <c r="Q26" s="1"/>
    </row>
    <row r="27" spans="1:18" x14ac:dyDescent="0.25">
      <c r="A27" s="4">
        <v>43103</v>
      </c>
      <c r="B27" t="s">
        <v>44</v>
      </c>
      <c r="C27" t="s">
        <v>4</v>
      </c>
      <c r="D27">
        <v>1</v>
      </c>
      <c r="E27">
        <v>1</v>
      </c>
      <c r="I27" s="2">
        <v>16685</v>
      </c>
      <c r="J27" s="2"/>
      <c r="M27" s="3">
        <v>0</v>
      </c>
    </row>
    <row r="28" spans="1:18" x14ac:dyDescent="0.25">
      <c r="A28" s="4">
        <v>43106</v>
      </c>
      <c r="B28" t="s">
        <v>43</v>
      </c>
      <c r="C28" t="s">
        <v>18</v>
      </c>
      <c r="D28">
        <v>2</v>
      </c>
      <c r="E28">
        <v>1</v>
      </c>
      <c r="F28">
        <v>1.7</v>
      </c>
      <c r="G28">
        <v>1.4</v>
      </c>
      <c r="H28">
        <v>59</v>
      </c>
      <c r="I28" s="2">
        <v>27749</v>
      </c>
      <c r="J28" s="2"/>
      <c r="M28" s="3">
        <v>0</v>
      </c>
      <c r="Q28" s="1"/>
      <c r="R28" s="1"/>
    </row>
    <row r="29" spans="1:18" x14ac:dyDescent="0.25">
      <c r="A29" s="4">
        <v>43109</v>
      </c>
      <c r="B29" t="s">
        <v>43</v>
      </c>
      <c r="C29" t="s">
        <v>18</v>
      </c>
      <c r="D29">
        <v>4</v>
      </c>
      <c r="E29">
        <v>0</v>
      </c>
      <c r="I29" s="2">
        <v>27869</v>
      </c>
      <c r="J29" s="2"/>
      <c r="M29" s="3">
        <v>0</v>
      </c>
    </row>
    <row r="30" spans="1:18" x14ac:dyDescent="0.25">
      <c r="A30" s="4">
        <v>43113</v>
      </c>
      <c r="B30" t="s">
        <v>44</v>
      </c>
      <c r="C30" t="s">
        <v>18</v>
      </c>
      <c r="D30">
        <v>2</v>
      </c>
      <c r="E30">
        <v>1</v>
      </c>
      <c r="F30">
        <v>0.5</v>
      </c>
      <c r="G30">
        <v>1.9</v>
      </c>
      <c r="H30">
        <v>47</v>
      </c>
      <c r="I30" s="2">
        <v>19031</v>
      </c>
      <c r="J30" s="2"/>
      <c r="M30" s="3">
        <v>0</v>
      </c>
      <c r="Q30" s="1"/>
      <c r="R30" s="1"/>
    </row>
    <row r="31" spans="1:18" x14ac:dyDescent="0.25">
      <c r="A31" s="4">
        <v>43117</v>
      </c>
      <c r="B31" t="s">
        <v>43</v>
      </c>
      <c r="C31" t="s">
        <v>18</v>
      </c>
      <c r="D31">
        <v>2</v>
      </c>
      <c r="E31">
        <v>1</v>
      </c>
      <c r="I31" s="2">
        <v>31338</v>
      </c>
      <c r="J31" s="2"/>
      <c r="M31" s="3">
        <v>0</v>
      </c>
    </row>
    <row r="32" spans="1:18" x14ac:dyDescent="0.25">
      <c r="A32" s="4">
        <v>43120</v>
      </c>
      <c r="B32" t="s">
        <v>44</v>
      </c>
      <c r="C32" t="s">
        <v>19</v>
      </c>
      <c r="D32">
        <v>1</v>
      </c>
      <c r="E32">
        <v>2</v>
      </c>
      <c r="F32">
        <v>1.7</v>
      </c>
      <c r="G32">
        <v>2.8</v>
      </c>
      <c r="H32">
        <v>41</v>
      </c>
      <c r="I32" s="2">
        <v>20242</v>
      </c>
      <c r="J32" s="2"/>
      <c r="M32" s="3">
        <v>0</v>
      </c>
      <c r="Q32" s="1"/>
      <c r="R32" s="1"/>
    </row>
    <row r="33" spans="1:18" x14ac:dyDescent="0.25">
      <c r="A33" s="4">
        <v>43124</v>
      </c>
      <c r="B33" t="s">
        <v>44</v>
      </c>
      <c r="C33" t="s">
        <v>19</v>
      </c>
      <c r="D33" t="s">
        <v>164</v>
      </c>
      <c r="E33" t="s">
        <v>165</v>
      </c>
      <c r="I33" s="2">
        <v>19127</v>
      </c>
      <c r="J33" s="2"/>
      <c r="M33" s="3">
        <v>0</v>
      </c>
    </row>
    <row r="34" spans="1:18" x14ac:dyDescent="0.25">
      <c r="A34" s="4">
        <v>43127</v>
      </c>
      <c r="B34" t="s">
        <v>43</v>
      </c>
      <c r="C34" t="s">
        <v>19</v>
      </c>
      <c r="D34">
        <v>1</v>
      </c>
      <c r="E34">
        <v>4</v>
      </c>
      <c r="F34">
        <v>1.1000000000000001</v>
      </c>
      <c r="G34">
        <v>2.7</v>
      </c>
      <c r="H34">
        <v>43</v>
      </c>
      <c r="I34" s="2">
        <v>47034</v>
      </c>
      <c r="J34" s="2"/>
      <c r="M34" s="3">
        <v>0</v>
      </c>
      <c r="Q34" s="1"/>
      <c r="R34" s="1"/>
    </row>
    <row r="35" spans="1:18" x14ac:dyDescent="0.25">
      <c r="A35" s="4">
        <v>43132</v>
      </c>
      <c r="B35" t="s">
        <v>44</v>
      </c>
      <c r="C35" t="s">
        <v>19</v>
      </c>
      <c r="D35">
        <v>0</v>
      </c>
      <c r="E35">
        <v>1</v>
      </c>
      <c r="I35" s="2">
        <v>50959</v>
      </c>
      <c r="J35" s="2"/>
      <c r="M35" s="3">
        <v>0</v>
      </c>
    </row>
    <row r="36" spans="1:18" x14ac:dyDescent="0.25">
      <c r="A36" s="4">
        <v>43135</v>
      </c>
      <c r="B36" t="s">
        <v>44</v>
      </c>
      <c r="C36" t="s">
        <v>19</v>
      </c>
      <c r="D36">
        <v>0</v>
      </c>
      <c r="E36">
        <v>1</v>
      </c>
      <c r="F36">
        <v>0.4</v>
      </c>
      <c r="G36">
        <v>0.6</v>
      </c>
      <c r="H36">
        <v>51</v>
      </c>
      <c r="I36" s="2">
        <v>49596</v>
      </c>
      <c r="J36" s="2"/>
      <c r="M36" s="3">
        <v>0</v>
      </c>
      <c r="Q36" s="1"/>
      <c r="R36" s="1"/>
    </row>
    <row r="37" spans="1:18" x14ac:dyDescent="0.25">
      <c r="A37" s="4">
        <v>43139</v>
      </c>
      <c r="B37" t="s">
        <v>43</v>
      </c>
      <c r="C37" t="s">
        <v>19</v>
      </c>
      <c r="D37">
        <v>0</v>
      </c>
      <c r="E37">
        <v>2</v>
      </c>
      <c r="I37" s="2">
        <v>43335</v>
      </c>
      <c r="J37" s="2"/>
      <c r="M37" s="3">
        <v>0</v>
      </c>
    </row>
    <row r="38" spans="1:18" x14ac:dyDescent="0.25">
      <c r="A38" s="4">
        <v>43142</v>
      </c>
      <c r="B38" t="s">
        <v>43</v>
      </c>
      <c r="C38" t="s">
        <v>18</v>
      </c>
      <c r="D38">
        <v>3</v>
      </c>
      <c r="E38">
        <v>1</v>
      </c>
      <c r="F38">
        <v>3.5</v>
      </c>
      <c r="G38">
        <v>0.2</v>
      </c>
      <c r="H38">
        <v>59</v>
      </c>
      <c r="I38" s="2">
        <v>38199</v>
      </c>
      <c r="J38" s="2"/>
      <c r="M38" s="3">
        <v>0</v>
      </c>
    </row>
    <row r="39" spans="1:18" x14ac:dyDescent="0.25">
      <c r="A39" s="4">
        <v>43148</v>
      </c>
      <c r="B39" t="s">
        <v>44</v>
      </c>
      <c r="C39" t="s">
        <v>18</v>
      </c>
      <c r="D39">
        <v>2</v>
      </c>
      <c r="E39">
        <v>1</v>
      </c>
      <c r="F39">
        <v>1.2</v>
      </c>
      <c r="G39">
        <v>1.3</v>
      </c>
      <c r="H39">
        <v>66</v>
      </c>
      <c r="I39" s="2">
        <v>21134</v>
      </c>
      <c r="J39" s="2"/>
      <c r="M39" s="3">
        <v>0</v>
      </c>
      <c r="Q39" s="1"/>
    </row>
    <row r="40" spans="1:18" x14ac:dyDescent="0.25">
      <c r="A40" s="4">
        <v>43156</v>
      </c>
      <c r="B40" t="s">
        <v>43</v>
      </c>
      <c r="C40" t="s">
        <v>18</v>
      </c>
      <c r="D40">
        <v>2</v>
      </c>
      <c r="E40">
        <v>1</v>
      </c>
      <c r="F40">
        <v>1.6</v>
      </c>
      <c r="G40">
        <v>1.1000000000000001</v>
      </c>
      <c r="H40">
        <v>35</v>
      </c>
      <c r="I40" s="2">
        <v>37195</v>
      </c>
      <c r="J40" s="2"/>
      <c r="M40" s="3">
        <v>0</v>
      </c>
      <c r="Q40" s="1"/>
      <c r="R40" s="1"/>
    </row>
    <row r="41" spans="1:18" x14ac:dyDescent="0.25">
      <c r="A41" s="4">
        <v>43159</v>
      </c>
      <c r="B41" t="s">
        <v>44</v>
      </c>
      <c r="C41" t="s">
        <v>4</v>
      </c>
      <c r="D41">
        <v>1</v>
      </c>
      <c r="E41">
        <v>1</v>
      </c>
      <c r="F41">
        <v>0.2</v>
      </c>
      <c r="G41">
        <v>1.8</v>
      </c>
      <c r="H41">
        <v>52</v>
      </c>
      <c r="I41" s="2">
        <v>34382</v>
      </c>
      <c r="J41" s="2"/>
      <c r="M41" s="3">
        <v>0</v>
      </c>
      <c r="Q41" s="1"/>
      <c r="R41" s="1"/>
    </row>
    <row r="42" spans="1:18" x14ac:dyDescent="0.25">
      <c r="A42" s="4">
        <v>43163</v>
      </c>
      <c r="B42" t="s">
        <v>43</v>
      </c>
      <c r="C42" t="s">
        <v>18</v>
      </c>
      <c r="D42">
        <v>2</v>
      </c>
      <c r="E42">
        <v>0</v>
      </c>
      <c r="F42">
        <v>1.3</v>
      </c>
      <c r="G42">
        <v>0.4</v>
      </c>
      <c r="H42">
        <v>41</v>
      </c>
      <c r="I42" s="2">
        <v>35565</v>
      </c>
      <c r="J42" s="2"/>
      <c r="M42" s="3">
        <v>0</v>
      </c>
      <c r="Q42" s="1"/>
    </row>
    <row r="43" spans="1:18" x14ac:dyDescent="0.25">
      <c r="A43" s="4">
        <v>43169</v>
      </c>
      <c r="B43" t="s">
        <v>44</v>
      </c>
      <c r="C43" t="s">
        <v>18</v>
      </c>
      <c r="D43">
        <v>2</v>
      </c>
      <c r="E43">
        <v>0</v>
      </c>
      <c r="F43">
        <v>1.3</v>
      </c>
      <c r="G43">
        <v>1.6</v>
      </c>
      <c r="H43">
        <v>38</v>
      </c>
      <c r="I43" s="2">
        <v>33287</v>
      </c>
      <c r="J43" s="2"/>
      <c r="M43" s="3">
        <v>0</v>
      </c>
      <c r="Q43" s="1"/>
      <c r="R43" s="1"/>
    </row>
    <row r="44" spans="1:18" x14ac:dyDescent="0.25">
      <c r="A44" s="4">
        <v>43176</v>
      </c>
      <c r="B44" t="s">
        <v>43</v>
      </c>
      <c r="C44" t="s">
        <v>18</v>
      </c>
      <c r="D44">
        <v>3</v>
      </c>
      <c r="E44">
        <v>1</v>
      </c>
      <c r="F44">
        <v>2.8</v>
      </c>
      <c r="G44">
        <v>1.2</v>
      </c>
      <c r="H44">
        <v>61</v>
      </c>
      <c r="I44" s="2">
        <v>35264</v>
      </c>
      <c r="J44" s="2"/>
      <c r="M44" s="3">
        <v>0</v>
      </c>
      <c r="Q44" s="1"/>
    </row>
    <row r="45" spans="1:18" x14ac:dyDescent="0.25">
      <c r="A45" s="4">
        <v>43191</v>
      </c>
      <c r="B45" t="s">
        <v>44</v>
      </c>
      <c r="C45" t="s">
        <v>18</v>
      </c>
      <c r="D45">
        <v>1</v>
      </c>
      <c r="E45">
        <v>0</v>
      </c>
      <c r="F45">
        <v>0.1</v>
      </c>
      <c r="G45">
        <v>0.8</v>
      </c>
      <c r="H45">
        <v>51</v>
      </c>
      <c r="I45" s="2">
        <v>10697</v>
      </c>
      <c r="J45" s="2"/>
      <c r="M45" s="3">
        <v>0</v>
      </c>
      <c r="Q45" s="1"/>
      <c r="R45" s="1"/>
    </row>
    <row r="46" spans="1:18" x14ac:dyDescent="0.25">
      <c r="A46" s="4">
        <v>43198</v>
      </c>
      <c r="B46" t="s">
        <v>43</v>
      </c>
      <c r="C46" t="s">
        <v>18</v>
      </c>
      <c r="D46">
        <v>1</v>
      </c>
      <c r="E46">
        <v>0</v>
      </c>
      <c r="F46">
        <v>1.6</v>
      </c>
      <c r="G46">
        <v>1.3</v>
      </c>
      <c r="H46">
        <v>47</v>
      </c>
      <c r="I46" s="2">
        <v>36296</v>
      </c>
      <c r="J46" s="2"/>
      <c r="M46" s="3">
        <v>0</v>
      </c>
      <c r="Q46" s="1"/>
      <c r="R46" s="1"/>
    </row>
    <row r="47" spans="1:18" x14ac:dyDescent="0.25">
      <c r="A47" s="4">
        <v>43204</v>
      </c>
      <c r="B47" t="s">
        <v>44</v>
      </c>
      <c r="C47" t="s">
        <v>19</v>
      </c>
      <c r="D47">
        <v>1</v>
      </c>
      <c r="E47">
        <v>2</v>
      </c>
      <c r="F47">
        <v>2.2000000000000002</v>
      </c>
      <c r="G47">
        <v>1.7</v>
      </c>
      <c r="H47">
        <v>38</v>
      </c>
      <c r="I47" s="2">
        <v>69544</v>
      </c>
      <c r="J47" s="2"/>
      <c r="M47" s="3">
        <v>0</v>
      </c>
      <c r="Q47" s="1"/>
    </row>
    <row r="48" spans="1:18" x14ac:dyDescent="0.25">
      <c r="A48" s="4">
        <v>43208</v>
      </c>
      <c r="B48" t="s">
        <v>43</v>
      </c>
      <c r="C48" t="s">
        <v>19</v>
      </c>
      <c r="D48">
        <v>1</v>
      </c>
      <c r="E48">
        <v>2</v>
      </c>
      <c r="F48">
        <v>1.1000000000000001</v>
      </c>
      <c r="G48">
        <v>0.6</v>
      </c>
      <c r="H48">
        <v>63</v>
      </c>
      <c r="I48" s="2">
        <v>35829</v>
      </c>
      <c r="J48" s="2"/>
      <c r="M48" s="3">
        <v>0</v>
      </c>
      <c r="Q48" s="1"/>
      <c r="R48" s="1"/>
    </row>
    <row r="49" spans="1:18" x14ac:dyDescent="0.25">
      <c r="A49" s="4">
        <v>43211</v>
      </c>
      <c r="B49" t="s">
        <v>44</v>
      </c>
      <c r="C49" t="s">
        <v>4</v>
      </c>
      <c r="D49">
        <v>1</v>
      </c>
      <c r="E49">
        <v>1</v>
      </c>
      <c r="F49">
        <v>2.2999999999999998</v>
      </c>
      <c r="G49">
        <v>0.7</v>
      </c>
      <c r="H49">
        <v>40</v>
      </c>
      <c r="I49" s="2">
        <v>17316</v>
      </c>
      <c r="J49" s="2"/>
      <c r="M49" s="3">
        <v>0</v>
      </c>
      <c r="Q49" s="1"/>
      <c r="R49" s="1"/>
    </row>
    <row r="50" spans="1:18" x14ac:dyDescent="0.25">
      <c r="A50" s="4">
        <v>43219</v>
      </c>
      <c r="B50" t="s">
        <v>43</v>
      </c>
      <c r="C50" t="s">
        <v>4</v>
      </c>
      <c r="D50">
        <v>0</v>
      </c>
      <c r="E50">
        <v>0</v>
      </c>
      <c r="F50">
        <v>0.8</v>
      </c>
      <c r="G50">
        <v>0.6</v>
      </c>
      <c r="H50">
        <v>60</v>
      </c>
      <c r="I50" s="2">
        <v>40328</v>
      </c>
      <c r="J50" s="2"/>
      <c r="M50" s="3">
        <v>0</v>
      </c>
      <c r="Q50" s="1"/>
      <c r="R50" s="1"/>
    </row>
    <row r="51" spans="1:18" x14ac:dyDescent="0.25">
      <c r="A51" s="4">
        <v>43225</v>
      </c>
      <c r="B51" t="s">
        <v>44</v>
      </c>
      <c r="C51" t="s">
        <v>19</v>
      </c>
      <c r="D51">
        <v>0</v>
      </c>
      <c r="E51">
        <v>1</v>
      </c>
      <c r="F51">
        <v>0.5</v>
      </c>
      <c r="G51">
        <v>2.1</v>
      </c>
      <c r="H51">
        <v>44</v>
      </c>
      <c r="I51" s="2">
        <v>19079</v>
      </c>
      <c r="J51" s="2"/>
      <c r="M51" s="3">
        <v>0</v>
      </c>
      <c r="Q51" s="1"/>
    </row>
    <row r="52" spans="1:18" x14ac:dyDescent="0.25">
      <c r="A52" s="4">
        <v>43232</v>
      </c>
      <c r="B52" t="s">
        <v>44</v>
      </c>
      <c r="C52" t="s">
        <v>18</v>
      </c>
      <c r="D52">
        <v>1</v>
      </c>
      <c r="E52">
        <v>0</v>
      </c>
      <c r="F52">
        <v>0.8</v>
      </c>
      <c r="G52">
        <v>0.8</v>
      </c>
      <c r="H52">
        <v>43</v>
      </c>
      <c r="I52" s="2">
        <v>10850</v>
      </c>
      <c r="J52" s="2"/>
      <c r="M52" s="3">
        <v>0</v>
      </c>
      <c r="Q52" s="1"/>
      <c r="R52" s="1"/>
    </row>
    <row r="53" spans="1:18" x14ac:dyDescent="0.25">
      <c r="A53" s="4">
        <v>43240</v>
      </c>
      <c r="B53" t="s">
        <v>43</v>
      </c>
      <c r="C53" t="s">
        <v>18</v>
      </c>
      <c r="D53">
        <v>2</v>
      </c>
      <c r="E53">
        <v>1</v>
      </c>
      <c r="F53">
        <v>2.2999999999999998</v>
      </c>
      <c r="G53">
        <v>2</v>
      </c>
      <c r="H53">
        <v>56</v>
      </c>
      <c r="I53" s="2">
        <v>35376</v>
      </c>
      <c r="J53" s="2"/>
      <c r="K53">
        <f>AVERAGE(H8:H53)</f>
        <v>48.60526315789474</v>
      </c>
      <c r="M53" s="3">
        <v>0</v>
      </c>
      <c r="Q53" s="1"/>
      <c r="R53" s="1"/>
    </row>
    <row r="54" spans="1:18" x14ac:dyDescent="0.25">
      <c r="A54" s="5">
        <v>43332</v>
      </c>
      <c r="B54" s="6" t="s">
        <v>43</v>
      </c>
      <c r="C54" s="6" t="s">
        <v>4</v>
      </c>
      <c r="D54" s="6">
        <v>1</v>
      </c>
      <c r="E54" s="6">
        <v>1</v>
      </c>
      <c r="F54" s="6">
        <v>1.1000000000000001</v>
      </c>
      <c r="G54" s="6">
        <v>0.9</v>
      </c>
      <c r="H54" s="6">
        <v>51</v>
      </c>
      <c r="I54" s="7">
        <v>46174</v>
      </c>
      <c r="Q54" s="1"/>
    </row>
    <row r="55" spans="1:18" x14ac:dyDescent="0.25">
      <c r="A55" s="5">
        <v>43338</v>
      </c>
      <c r="B55" s="6" t="s">
        <v>44</v>
      </c>
      <c r="C55" s="6" t="s">
        <v>19</v>
      </c>
      <c r="D55" s="6">
        <v>0</v>
      </c>
      <c r="E55" s="6">
        <v>2</v>
      </c>
      <c r="F55" s="6">
        <v>1.9</v>
      </c>
      <c r="G55" s="6">
        <v>1.3</v>
      </c>
      <c r="H55" s="6">
        <v>51</v>
      </c>
      <c r="I55" s="7">
        <v>18714</v>
      </c>
    </row>
    <row r="56" spans="1:18" x14ac:dyDescent="0.25">
      <c r="A56" s="5">
        <v>43345</v>
      </c>
      <c r="B56" s="6" t="s">
        <v>44</v>
      </c>
      <c r="C56" s="6" t="s">
        <v>4</v>
      </c>
      <c r="D56" s="6">
        <v>2</v>
      </c>
      <c r="E56" s="6">
        <v>2</v>
      </c>
      <c r="F56" s="6">
        <v>4.0999999999999996</v>
      </c>
      <c r="G56" s="6">
        <v>1.6</v>
      </c>
      <c r="H56" s="6">
        <v>54</v>
      </c>
      <c r="I56" s="7">
        <v>24073</v>
      </c>
    </row>
    <row r="57" spans="1:18" x14ac:dyDescent="0.25">
      <c r="A57" s="5">
        <v>43358</v>
      </c>
      <c r="B57" s="6" t="s">
        <v>43</v>
      </c>
      <c r="C57" s="6" t="s">
        <v>4</v>
      </c>
      <c r="D57" s="6">
        <v>0</v>
      </c>
      <c r="E57" s="6">
        <v>0</v>
      </c>
      <c r="F57" s="6">
        <v>1</v>
      </c>
      <c r="G57" s="6">
        <v>1</v>
      </c>
      <c r="H57" s="6">
        <v>40</v>
      </c>
      <c r="I57" s="7">
        <v>40050</v>
      </c>
    </row>
    <row r="58" spans="1:18" x14ac:dyDescent="0.25">
      <c r="A58" s="5">
        <v>43362</v>
      </c>
      <c r="B58" s="6" t="s">
        <v>43</v>
      </c>
      <c r="C58" s="6" t="s">
        <v>19</v>
      </c>
      <c r="D58" s="6">
        <v>0</v>
      </c>
      <c r="E58" s="6">
        <v>2</v>
      </c>
      <c r="F58" s="6">
        <v>2</v>
      </c>
      <c r="G58" s="6">
        <v>3.7</v>
      </c>
      <c r="H58" s="6">
        <v>54</v>
      </c>
      <c r="I58" s="7">
        <v>46067</v>
      </c>
    </row>
    <row r="59" spans="1:18" x14ac:dyDescent="0.25">
      <c r="A59" s="5">
        <v>43366</v>
      </c>
      <c r="B59" s="6" t="s">
        <v>44</v>
      </c>
      <c r="C59" s="6" t="s">
        <v>4</v>
      </c>
      <c r="D59" s="6">
        <v>0</v>
      </c>
      <c r="E59" s="6">
        <v>0</v>
      </c>
      <c r="F59" s="6">
        <v>0.4</v>
      </c>
      <c r="G59" s="6">
        <v>0.7</v>
      </c>
      <c r="H59" s="6">
        <v>45</v>
      </c>
      <c r="I59" s="7">
        <v>18373</v>
      </c>
    </row>
    <row r="60" spans="1:18" x14ac:dyDescent="0.25">
      <c r="A60" s="5">
        <v>43369</v>
      </c>
      <c r="B60" s="6" t="s">
        <v>43</v>
      </c>
      <c r="C60" s="6" t="s">
        <v>4</v>
      </c>
      <c r="D60" s="6">
        <v>1</v>
      </c>
      <c r="E60" s="6">
        <v>1</v>
      </c>
      <c r="F60" s="6">
        <v>1.1000000000000001</v>
      </c>
      <c r="G60" s="6">
        <v>0.4</v>
      </c>
      <c r="H60" s="6">
        <v>37</v>
      </c>
      <c r="I60" s="7">
        <v>35945</v>
      </c>
    </row>
    <row r="61" spans="1:18" x14ac:dyDescent="0.25">
      <c r="A61" s="5">
        <v>43372</v>
      </c>
      <c r="B61" s="6" t="s">
        <v>44</v>
      </c>
      <c r="C61" s="6" t="s">
        <v>18</v>
      </c>
      <c r="D61" s="6">
        <v>1</v>
      </c>
      <c r="E61" s="6">
        <v>0</v>
      </c>
      <c r="F61" s="6">
        <v>0.9</v>
      </c>
      <c r="G61" s="6">
        <v>1.3</v>
      </c>
      <c r="H61" s="6">
        <v>46</v>
      </c>
      <c r="I61" s="7">
        <v>23577</v>
      </c>
    </row>
    <row r="62" spans="1:18" x14ac:dyDescent="0.25">
      <c r="A62" s="5">
        <v>43375</v>
      </c>
      <c r="B62" s="6" t="s">
        <v>44</v>
      </c>
      <c r="C62" s="6" t="s">
        <v>4</v>
      </c>
      <c r="D62" s="6">
        <v>0</v>
      </c>
      <c r="E62" s="6">
        <v>0</v>
      </c>
      <c r="F62" s="6">
        <v>0.4</v>
      </c>
      <c r="G62" s="6">
        <v>0.9</v>
      </c>
      <c r="H62" s="6">
        <v>48</v>
      </c>
      <c r="I62" s="7">
        <v>73569</v>
      </c>
    </row>
    <row r="63" spans="1:18" x14ac:dyDescent="0.25">
      <c r="A63" s="5">
        <v>43380</v>
      </c>
      <c r="B63" s="6" t="s">
        <v>43</v>
      </c>
      <c r="C63" s="6" t="s">
        <v>4</v>
      </c>
      <c r="D63" s="6">
        <v>1</v>
      </c>
      <c r="E63" s="6">
        <v>1</v>
      </c>
      <c r="F63" s="6">
        <v>1.5</v>
      </c>
      <c r="G63" s="6">
        <v>0.4</v>
      </c>
      <c r="H63" s="6">
        <v>25</v>
      </c>
      <c r="I63" s="7">
        <v>46249</v>
      </c>
    </row>
    <row r="64" spans="1:18" x14ac:dyDescent="0.25">
      <c r="A64" s="5">
        <v>43393</v>
      </c>
      <c r="B64" s="6" t="s">
        <v>43</v>
      </c>
      <c r="C64" s="6" t="s">
        <v>4</v>
      </c>
      <c r="D64" s="6">
        <v>1</v>
      </c>
      <c r="E64" s="6">
        <v>1</v>
      </c>
      <c r="F64" s="6">
        <v>1.3</v>
      </c>
      <c r="G64" s="6">
        <v>1</v>
      </c>
      <c r="H64" s="6">
        <v>59</v>
      </c>
      <c r="I64" s="7">
        <v>35597</v>
      </c>
    </row>
    <row r="65" spans="1:9" x14ac:dyDescent="0.25">
      <c r="A65" s="5">
        <v>43396</v>
      </c>
      <c r="B65" s="6" t="s">
        <v>44</v>
      </c>
      <c r="C65" s="6" t="s">
        <v>4</v>
      </c>
      <c r="D65" s="6">
        <v>1</v>
      </c>
      <c r="E65" s="6">
        <v>1</v>
      </c>
      <c r="F65" s="6">
        <v>0.9</v>
      </c>
      <c r="G65" s="6">
        <v>1.9</v>
      </c>
      <c r="H65" s="6">
        <v>55</v>
      </c>
      <c r="I65" s="7">
        <v>31120</v>
      </c>
    </row>
    <row r="66" spans="1:9" x14ac:dyDescent="0.25">
      <c r="A66" s="5">
        <v>43400</v>
      </c>
      <c r="B66" s="6" t="s">
        <v>44</v>
      </c>
      <c r="C66" s="6" t="s">
        <v>4</v>
      </c>
      <c r="D66" s="6">
        <v>0</v>
      </c>
      <c r="E66" s="6">
        <v>0</v>
      </c>
      <c r="F66" s="6">
        <v>0.5</v>
      </c>
      <c r="G66" s="6">
        <v>0.7</v>
      </c>
      <c r="H66" s="6">
        <v>48</v>
      </c>
      <c r="I66" s="7">
        <v>39261</v>
      </c>
    </row>
    <row r="67" spans="1:9" x14ac:dyDescent="0.25">
      <c r="A67" s="5">
        <v>43403</v>
      </c>
      <c r="B67" s="6" t="s">
        <v>44</v>
      </c>
      <c r="C67" s="6" t="s">
        <v>18</v>
      </c>
      <c r="D67" s="6">
        <v>2</v>
      </c>
      <c r="E67" s="6">
        <v>1</v>
      </c>
      <c r="F67" s="6"/>
      <c r="G67" s="6"/>
      <c r="H67" s="6">
        <v>72</v>
      </c>
      <c r="I67" s="7">
        <v>9911</v>
      </c>
    </row>
    <row r="68" spans="1:9" x14ac:dyDescent="0.25">
      <c r="A68" s="5">
        <v>43407</v>
      </c>
      <c r="B68" s="6" t="s">
        <v>43</v>
      </c>
      <c r="C68" s="6" t="s">
        <v>19</v>
      </c>
      <c r="D68" s="6">
        <v>0</v>
      </c>
      <c r="E68" s="6">
        <v>1</v>
      </c>
      <c r="F68" s="6">
        <v>2.2999999999999998</v>
      </c>
      <c r="G68" s="6">
        <v>0.3</v>
      </c>
      <c r="H68" s="6">
        <v>54</v>
      </c>
      <c r="I68" s="7">
        <v>38745</v>
      </c>
    </row>
    <row r="69" spans="1:9" x14ac:dyDescent="0.25">
      <c r="A69" s="5">
        <v>43411</v>
      </c>
      <c r="B69" s="6" t="s">
        <v>43</v>
      </c>
      <c r="C69" s="6" t="s">
        <v>18</v>
      </c>
      <c r="D69" s="6">
        <v>3</v>
      </c>
      <c r="E69" s="6">
        <v>1</v>
      </c>
      <c r="F69" s="6">
        <v>1.8</v>
      </c>
      <c r="G69" s="6">
        <v>1</v>
      </c>
      <c r="H69" s="6">
        <v>55</v>
      </c>
      <c r="I69" s="7">
        <v>36480</v>
      </c>
    </row>
    <row r="70" spans="1:9" x14ac:dyDescent="0.25">
      <c r="A70" s="5">
        <v>43414</v>
      </c>
      <c r="B70" s="6" t="s">
        <v>44</v>
      </c>
      <c r="C70" s="6" t="s">
        <v>18</v>
      </c>
      <c r="D70" s="6">
        <v>1</v>
      </c>
      <c r="E70" s="6">
        <v>0</v>
      </c>
      <c r="F70" s="6">
        <v>2.2000000000000002</v>
      </c>
      <c r="G70" s="6">
        <v>1.5</v>
      </c>
      <c r="H70" s="6">
        <v>62</v>
      </c>
      <c r="I70" s="7">
        <v>10011</v>
      </c>
    </row>
    <row r="71" spans="1:9" x14ac:dyDescent="0.25">
      <c r="A71" s="5">
        <v>43428</v>
      </c>
      <c r="B71" s="6" t="s">
        <v>43</v>
      </c>
      <c r="C71" s="6" t="s">
        <v>18</v>
      </c>
      <c r="D71" s="6">
        <v>3</v>
      </c>
      <c r="E71" s="6">
        <v>0</v>
      </c>
      <c r="F71" s="6">
        <v>1.9</v>
      </c>
      <c r="G71" s="6">
        <v>0.8</v>
      </c>
      <c r="H71" s="6">
        <v>50</v>
      </c>
      <c r="I71" s="7">
        <v>37814</v>
      </c>
    </row>
    <row r="72" spans="1:9" x14ac:dyDescent="0.25">
      <c r="A72" s="5">
        <v>43431</v>
      </c>
      <c r="B72" s="6" t="s">
        <v>44</v>
      </c>
      <c r="C72" s="6" t="s">
        <v>19</v>
      </c>
      <c r="D72" s="6">
        <v>0</v>
      </c>
      <c r="E72" s="6">
        <v>1</v>
      </c>
      <c r="F72" s="6">
        <v>0.3</v>
      </c>
      <c r="G72" s="6">
        <v>1.8</v>
      </c>
      <c r="H72" s="6">
        <v>44</v>
      </c>
      <c r="I72" s="7">
        <v>39070</v>
      </c>
    </row>
    <row r="73" spans="1:9" x14ac:dyDescent="0.25">
      <c r="A73" s="5">
        <v>43435</v>
      </c>
      <c r="B73" s="6" t="s">
        <v>44</v>
      </c>
      <c r="C73" s="6" t="s">
        <v>19</v>
      </c>
      <c r="D73" s="6">
        <v>0</v>
      </c>
      <c r="E73" s="6">
        <v>2</v>
      </c>
      <c r="F73" s="6">
        <v>0.8</v>
      </c>
      <c r="G73" s="6">
        <v>0.8</v>
      </c>
      <c r="H73" s="6">
        <v>40</v>
      </c>
      <c r="I73" s="7">
        <v>69653</v>
      </c>
    </row>
    <row r="74" spans="1:9" x14ac:dyDescent="0.25">
      <c r="A74" s="5">
        <v>43438</v>
      </c>
      <c r="B74" s="6" t="s">
        <v>43</v>
      </c>
      <c r="C74" s="6" t="s">
        <v>18</v>
      </c>
      <c r="D74" s="6">
        <v>1</v>
      </c>
      <c r="E74" s="6">
        <v>0</v>
      </c>
      <c r="F74" s="6"/>
      <c r="G74" s="6"/>
      <c r="H74" s="6">
        <v>55</v>
      </c>
      <c r="I74" s="7">
        <v>23272</v>
      </c>
    </row>
    <row r="75" spans="1:9" x14ac:dyDescent="0.25">
      <c r="A75" s="5">
        <v>43442</v>
      </c>
      <c r="B75" s="6" t="s">
        <v>43</v>
      </c>
      <c r="C75" s="6" t="s">
        <v>4</v>
      </c>
      <c r="D75" s="6">
        <v>1</v>
      </c>
      <c r="E75" s="6">
        <v>1</v>
      </c>
      <c r="F75" s="6">
        <v>1.2</v>
      </c>
      <c r="G75" s="6">
        <v>1.7</v>
      </c>
      <c r="H75" s="6">
        <v>54</v>
      </c>
      <c r="I75" s="7">
        <v>40057</v>
      </c>
    </row>
    <row r="76" spans="1:9" x14ac:dyDescent="0.25">
      <c r="A76" s="5">
        <v>43446</v>
      </c>
      <c r="B76" s="6" t="s">
        <v>43</v>
      </c>
      <c r="C76" s="6" t="s">
        <v>18</v>
      </c>
      <c r="D76" s="6">
        <v>2</v>
      </c>
      <c r="E76" s="6">
        <v>1</v>
      </c>
      <c r="F76" s="6">
        <v>1.4</v>
      </c>
      <c r="G76" s="6">
        <v>1.8</v>
      </c>
      <c r="H76" s="6">
        <v>46</v>
      </c>
      <c r="I76" s="7">
        <v>36544</v>
      </c>
    </row>
    <row r="77" spans="1:9" x14ac:dyDescent="0.25">
      <c r="A77" s="5">
        <v>43449</v>
      </c>
      <c r="B77" s="6" t="s">
        <v>44</v>
      </c>
      <c r="C77" s="6" t="s">
        <v>4</v>
      </c>
      <c r="D77" s="6">
        <v>1</v>
      </c>
      <c r="E77" s="6">
        <v>1</v>
      </c>
      <c r="F77" s="6">
        <v>2.1</v>
      </c>
      <c r="G77" s="6">
        <v>1.6</v>
      </c>
      <c r="H77" s="6">
        <v>44</v>
      </c>
      <c r="I77" s="7">
        <v>4491</v>
      </c>
    </row>
    <row r="78" spans="1:9" x14ac:dyDescent="0.25">
      <c r="A78" s="5">
        <v>43457</v>
      </c>
      <c r="B78" s="6" t="s">
        <v>43</v>
      </c>
      <c r="C78" s="6" t="s">
        <v>18</v>
      </c>
      <c r="D78" s="6">
        <v>2</v>
      </c>
      <c r="E78" s="6">
        <v>1</v>
      </c>
      <c r="F78" s="6">
        <v>3.2</v>
      </c>
      <c r="G78" s="6">
        <v>2.2999999999999998</v>
      </c>
      <c r="H78" s="6">
        <v>49</v>
      </c>
      <c r="I78" s="7">
        <v>36547</v>
      </c>
    </row>
    <row r="79" spans="1:9" x14ac:dyDescent="0.25">
      <c r="A79" s="5">
        <v>43470</v>
      </c>
      <c r="B79" s="6" t="s">
        <v>44</v>
      </c>
      <c r="C79" s="6" t="s">
        <v>19</v>
      </c>
      <c r="D79" s="6">
        <v>1</v>
      </c>
      <c r="E79" s="6">
        <v>2</v>
      </c>
      <c r="F79" s="6">
        <v>1.1000000000000001</v>
      </c>
      <c r="G79" s="6">
        <v>1.9</v>
      </c>
      <c r="H79" s="6">
        <v>55</v>
      </c>
      <c r="I79" s="7">
        <v>18304</v>
      </c>
    </row>
    <row r="80" spans="1:9" x14ac:dyDescent="0.25">
      <c r="A80" s="5">
        <v>43473</v>
      </c>
      <c r="B80" s="6" t="s">
        <v>44</v>
      </c>
      <c r="C80" s="6" t="s">
        <v>19</v>
      </c>
      <c r="D80" s="6">
        <v>1</v>
      </c>
      <c r="E80" s="6">
        <v>2</v>
      </c>
      <c r="F80" s="6"/>
      <c r="G80" s="6"/>
      <c r="H80" s="6">
        <v>54</v>
      </c>
      <c r="I80" s="7">
        <v>9870</v>
      </c>
    </row>
    <row r="81" spans="1:9" x14ac:dyDescent="0.25">
      <c r="A81" s="5">
        <v>43477</v>
      </c>
      <c r="B81" s="6" t="s">
        <v>43</v>
      </c>
      <c r="C81" s="6" t="s">
        <v>4</v>
      </c>
      <c r="D81" s="6">
        <v>1</v>
      </c>
      <c r="E81" s="6">
        <v>1</v>
      </c>
      <c r="F81" s="6">
        <v>3.5</v>
      </c>
      <c r="G81" s="6">
        <v>0.2</v>
      </c>
      <c r="H81" s="6">
        <v>63</v>
      </c>
      <c r="I81" s="7">
        <v>36912</v>
      </c>
    </row>
    <row r="82" spans="1:9" x14ac:dyDescent="0.25">
      <c r="A82" s="5">
        <v>43480</v>
      </c>
      <c r="B82" s="6" t="s">
        <v>43</v>
      </c>
      <c r="C82" s="6" t="s">
        <v>18</v>
      </c>
      <c r="D82" s="6">
        <v>3</v>
      </c>
      <c r="E82" s="6">
        <v>0</v>
      </c>
      <c r="F82" s="6"/>
      <c r="G82" s="6"/>
      <c r="H82" s="6">
        <v>57</v>
      </c>
      <c r="I82" s="7">
        <v>33149</v>
      </c>
    </row>
    <row r="83" spans="1:9" x14ac:dyDescent="0.25">
      <c r="A83" s="5">
        <v>43484</v>
      </c>
      <c r="B83" s="6" t="s">
        <v>44</v>
      </c>
      <c r="C83" s="6" t="s">
        <v>18</v>
      </c>
      <c r="D83" s="6">
        <v>2</v>
      </c>
      <c r="E83" s="6">
        <v>1</v>
      </c>
      <c r="F83" s="6">
        <v>1.2</v>
      </c>
      <c r="G83" s="6">
        <v>0.8</v>
      </c>
      <c r="H83" s="6">
        <v>44</v>
      </c>
      <c r="I83" s="7">
        <v>15668</v>
      </c>
    </row>
    <row r="84" spans="1:9" x14ac:dyDescent="0.25">
      <c r="A84" s="5">
        <v>43487</v>
      </c>
      <c r="B84" s="6" t="s">
        <v>44</v>
      </c>
      <c r="C84" s="6" t="s">
        <v>19</v>
      </c>
      <c r="D84" s="6">
        <v>0</v>
      </c>
      <c r="E84" s="6">
        <v>1</v>
      </c>
      <c r="F84" s="6"/>
      <c r="G84" s="6"/>
      <c r="H84" s="6">
        <v>59</v>
      </c>
      <c r="I84" s="7">
        <v>7021</v>
      </c>
    </row>
    <row r="85" spans="1:9" x14ac:dyDescent="0.25">
      <c r="A85" s="5">
        <v>43491</v>
      </c>
      <c r="B85" s="6" t="s">
        <v>43</v>
      </c>
      <c r="C85" s="6" t="s">
        <v>18</v>
      </c>
      <c r="D85" s="6">
        <v>3</v>
      </c>
      <c r="E85" s="6">
        <v>0</v>
      </c>
      <c r="F85" s="6">
        <v>1.5</v>
      </c>
      <c r="G85" s="6">
        <v>0.7</v>
      </c>
      <c r="H85" s="6">
        <v>45</v>
      </c>
      <c r="I85" s="7">
        <v>37685</v>
      </c>
    </row>
    <row r="86" spans="1:9" x14ac:dyDescent="0.25">
      <c r="A86" s="5">
        <v>43494</v>
      </c>
      <c r="B86" s="6" t="s">
        <v>43</v>
      </c>
      <c r="C86" s="6" t="s">
        <v>18</v>
      </c>
      <c r="D86" s="6">
        <v>3</v>
      </c>
      <c r="E86" s="6">
        <v>1</v>
      </c>
      <c r="F86" s="6"/>
      <c r="G86" s="6"/>
      <c r="H86" s="6">
        <v>69</v>
      </c>
      <c r="I86" s="7">
        <v>34140</v>
      </c>
    </row>
    <row r="87" spans="1:9" x14ac:dyDescent="0.25">
      <c r="A87" s="5">
        <v>43498</v>
      </c>
      <c r="B87" s="6" t="s">
        <v>44</v>
      </c>
      <c r="C87" s="6" t="s">
        <v>4</v>
      </c>
      <c r="D87" s="6">
        <v>2</v>
      </c>
      <c r="E87" s="6">
        <v>2</v>
      </c>
      <c r="F87" s="6">
        <v>3.3</v>
      </c>
      <c r="G87" s="6">
        <v>2</v>
      </c>
      <c r="H87" s="6">
        <v>32</v>
      </c>
      <c r="I87" s="7">
        <v>76789</v>
      </c>
    </row>
    <row r="88" spans="1:9" x14ac:dyDescent="0.25">
      <c r="A88" s="5">
        <v>43503</v>
      </c>
      <c r="B88" s="6" t="s">
        <v>44</v>
      </c>
      <c r="C88" s="6" t="s">
        <v>4</v>
      </c>
      <c r="D88" s="6">
        <v>2</v>
      </c>
      <c r="E88" s="6">
        <v>2</v>
      </c>
      <c r="F88" s="6"/>
      <c r="G88" s="6"/>
      <c r="H88" s="6">
        <v>33</v>
      </c>
      <c r="I88" s="7">
        <v>57123</v>
      </c>
    </row>
    <row r="89" spans="1:9" x14ac:dyDescent="0.25">
      <c r="A89" s="5">
        <v>43506</v>
      </c>
      <c r="B89" s="6" t="s">
        <v>43</v>
      </c>
      <c r="C89" s="6" t="s">
        <v>4</v>
      </c>
      <c r="D89" s="6">
        <v>0</v>
      </c>
      <c r="E89" s="6">
        <v>0</v>
      </c>
      <c r="F89" s="6">
        <v>1.5</v>
      </c>
      <c r="G89" s="6">
        <v>0.5</v>
      </c>
      <c r="H89" s="6">
        <v>42</v>
      </c>
      <c r="I89" s="7">
        <v>38885</v>
      </c>
    </row>
    <row r="90" spans="1:9" x14ac:dyDescent="0.25">
      <c r="A90" s="5">
        <v>43510</v>
      </c>
      <c r="B90" s="6" t="s">
        <v>44</v>
      </c>
      <c r="C90" s="6" t="s">
        <v>18</v>
      </c>
      <c r="D90" s="6">
        <v>2</v>
      </c>
      <c r="E90" s="6">
        <v>0</v>
      </c>
      <c r="F90" s="6">
        <v>1.3</v>
      </c>
      <c r="G90" s="6">
        <v>0.2</v>
      </c>
      <c r="H90" s="6">
        <v>36</v>
      </c>
      <c r="I90" s="7">
        <v>57430</v>
      </c>
    </row>
    <row r="91" spans="1:9" x14ac:dyDescent="0.25">
      <c r="A91" s="5">
        <v>43513</v>
      </c>
      <c r="B91" s="6" t="s">
        <v>43</v>
      </c>
      <c r="C91" s="6" t="s">
        <v>4</v>
      </c>
      <c r="D91" s="6">
        <v>0</v>
      </c>
      <c r="E91" s="6">
        <v>0</v>
      </c>
      <c r="F91" s="6">
        <v>1.7</v>
      </c>
      <c r="G91" s="6">
        <v>0.4</v>
      </c>
      <c r="H91" s="6">
        <v>52</v>
      </c>
      <c r="I91" s="7">
        <v>39564</v>
      </c>
    </row>
    <row r="92" spans="1:9" x14ac:dyDescent="0.25">
      <c r="A92" s="5">
        <v>43517</v>
      </c>
      <c r="B92" s="6" t="s">
        <v>43</v>
      </c>
      <c r="C92" s="6" t="s">
        <v>18</v>
      </c>
      <c r="D92" s="6">
        <v>1</v>
      </c>
      <c r="E92" s="6">
        <v>0</v>
      </c>
      <c r="F92" s="6">
        <v>2</v>
      </c>
      <c r="G92" s="6">
        <v>1.1000000000000001</v>
      </c>
      <c r="H92" s="6">
        <v>55</v>
      </c>
      <c r="I92" s="7">
        <v>36619</v>
      </c>
    </row>
    <row r="93" spans="1:9" x14ac:dyDescent="0.25">
      <c r="A93" s="5">
        <v>43520</v>
      </c>
      <c r="B93" s="6" t="s">
        <v>44</v>
      </c>
      <c r="C93" s="6" t="s">
        <v>4</v>
      </c>
      <c r="D93" s="6">
        <v>1</v>
      </c>
      <c r="E93" s="6">
        <v>1</v>
      </c>
      <c r="F93" s="6">
        <v>0.5</v>
      </c>
      <c r="G93" s="6">
        <v>1.8</v>
      </c>
      <c r="H93" s="6">
        <v>50</v>
      </c>
      <c r="I93" s="7">
        <v>11425</v>
      </c>
    </row>
    <row r="94" spans="1:9" x14ac:dyDescent="0.25">
      <c r="A94" s="5">
        <v>43524</v>
      </c>
      <c r="B94" s="6" t="s">
        <v>43</v>
      </c>
      <c r="C94" s="6" t="s">
        <v>18</v>
      </c>
      <c r="D94" s="6">
        <v>1</v>
      </c>
      <c r="E94" s="6">
        <v>0</v>
      </c>
      <c r="F94" s="6"/>
      <c r="G94" s="6"/>
      <c r="H94" s="6">
        <v>32</v>
      </c>
      <c r="I94" s="7">
        <v>45222</v>
      </c>
    </row>
    <row r="95" spans="1:9" x14ac:dyDescent="0.25">
      <c r="A95" s="5">
        <v>43527</v>
      </c>
      <c r="B95" s="6" t="s">
        <v>43</v>
      </c>
      <c r="C95" s="6" t="s">
        <v>18</v>
      </c>
      <c r="D95" s="6">
        <v>2</v>
      </c>
      <c r="E95" s="6">
        <v>0</v>
      </c>
      <c r="F95" s="6">
        <v>1.3</v>
      </c>
      <c r="G95" s="6">
        <v>0.4</v>
      </c>
      <c r="H95" s="6">
        <v>51</v>
      </c>
      <c r="I95" s="7">
        <v>39041</v>
      </c>
    </row>
    <row r="96" spans="1:9" x14ac:dyDescent="0.25">
      <c r="A96" s="5">
        <v>43531</v>
      </c>
      <c r="B96" s="6" t="s">
        <v>43</v>
      </c>
      <c r="C96" s="6" t="s">
        <v>18</v>
      </c>
      <c r="D96" s="6">
        <v>2</v>
      </c>
      <c r="E96" s="6">
        <v>1</v>
      </c>
      <c r="F96" s="6">
        <v>1.7</v>
      </c>
      <c r="G96" s="6">
        <v>1</v>
      </c>
      <c r="H96" s="6">
        <v>48</v>
      </c>
      <c r="I96" s="7">
        <v>36274</v>
      </c>
    </row>
    <row r="97" spans="1:9" x14ac:dyDescent="0.25">
      <c r="A97" s="5">
        <v>43534</v>
      </c>
      <c r="B97" s="6" t="s">
        <v>44</v>
      </c>
      <c r="C97" s="6" t="s">
        <v>18</v>
      </c>
      <c r="D97" s="6">
        <v>3</v>
      </c>
      <c r="E97" s="6">
        <v>2</v>
      </c>
      <c r="F97" s="6">
        <v>1.2</v>
      </c>
      <c r="G97" s="6">
        <v>2.2999999999999998</v>
      </c>
      <c r="H97" s="6">
        <v>41</v>
      </c>
      <c r="I97" s="7">
        <v>11502</v>
      </c>
    </row>
    <row r="98" spans="1:9" x14ac:dyDescent="0.25">
      <c r="A98" s="5">
        <v>43538</v>
      </c>
      <c r="B98" s="6" t="s">
        <v>44</v>
      </c>
      <c r="C98" s="6" t="s">
        <v>4</v>
      </c>
      <c r="D98" s="6">
        <v>1</v>
      </c>
      <c r="E98" s="6">
        <v>1</v>
      </c>
      <c r="F98" s="6">
        <v>1.7</v>
      </c>
      <c r="G98" s="6">
        <v>0.6</v>
      </c>
      <c r="H98" s="6">
        <v>41</v>
      </c>
      <c r="I98" s="7">
        <v>35074</v>
      </c>
    </row>
    <row r="99" spans="1:9" x14ac:dyDescent="0.25">
      <c r="A99" s="5">
        <v>43541</v>
      </c>
      <c r="B99" s="6" t="s">
        <v>43</v>
      </c>
      <c r="C99" s="6" t="s">
        <v>4</v>
      </c>
      <c r="D99" s="6">
        <v>0</v>
      </c>
      <c r="E99" s="6">
        <v>0</v>
      </c>
      <c r="F99" s="6">
        <v>0.6</v>
      </c>
      <c r="G99" s="6">
        <v>0.5</v>
      </c>
      <c r="H99" s="6">
        <v>62</v>
      </c>
      <c r="I99" s="7">
        <v>41778</v>
      </c>
    </row>
    <row r="100" spans="1:9" x14ac:dyDescent="0.25">
      <c r="A100" s="5">
        <v>43555</v>
      </c>
      <c r="B100" s="6" t="s">
        <v>44</v>
      </c>
      <c r="C100" s="6" t="s">
        <v>18</v>
      </c>
      <c r="D100" s="6">
        <v>1</v>
      </c>
      <c r="E100" s="6">
        <v>0</v>
      </c>
      <c r="F100" s="6">
        <v>1</v>
      </c>
      <c r="G100" s="6">
        <v>0.9</v>
      </c>
      <c r="H100" s="6">
        <v>40</v>
      </c>
      <c r="I100" s="7">
        <v>38450</v>
      </c>
    </row>
    <row r="101" spans="1:9" x14ac:dyDescent="0.25">
      <c r="A101" s="5">
        <v>43558</v>
      </c>
      <c r="B101" s="6" t="s">
        <v>43</v>
      </c>
      <c r="C101" s="6" t="s">
        <v>18</v>
      </c>
      <c r="D101" s="6">
        <v>2</v>
      </c>
      <c r="E101" s="6">
        <v>1</v>
      </c>
      <c r="F101" s="6">
        <v>1.8</v>
      </c>
      <c r="G101" s="6">
        <v>0.8</v>
      </c>
      <c r="H101" s="6">
        <v>33</v>
      </c>
      <c r="I101" s="7">
        <v>44274</v>
      </c>
    </row>
    <row r="102" spans="1:9" x14ac:dyDescent="0.25">
      <c r="A102" s="5">
        <v>43561</v>
      </c>
      <c r="B102" s="6" t="s">
        <v>44</v>
      </c>
      <c r="C102" s="6" t="s">
        <v>19</v>
      </c>
      <c r="D102" s="6">
        <v>0</v>
      </c>
      <c r="E102" s="6">
        <v>2</v>
      </c>
      <c r="F102" s="6">
        <v>2.2999999999999998</v>
      </c>
      <c r="G102" s="6">
        <v>1.5</v>
      </c>
      <c r="H102" s="6">
        <v>48</v>
      </c>
      <c r="I102" s="7">
        <v>11320</v>
      </c>
    </row>
    <row r="103" spans="1:9" x14ac:dyDescent="0.25">
      <c r="A103" s="5">
        <v>43566</v>
      </c>
      <c r="B103" s="6" t="s">
        <v>44</v>
      </c>
      <c r="C103" s="6" t="s">
        <v>18</v>
      </c>
      <c r="D103" s="6">
        <v>3</v>
      </c>
      <c r="E103" s="6">
        <v>1</v>
      </c>
      <c r="F103" s="6">
        <v>1.8</v>
      </c>
      <c r="G103" s="6">
        <v>1.8</v>
      </c>
      <c r="H103" s="6">
        <v>42</v>
      </c>
      <c r="I103" s="7">
        <v>17605</v>
      </c>
    </row>
    <row r="104" spans="1:9" x14ac:dyDescent="0.25">
      <c r="A104" s="5">
        <v>43569</v>
      </c>
      <c r="B104" s="6" t="s">
        <v>43</v>
      </c>
      <c r="C104" s="6" t="s">
        <v>18</v>
      </c>
      <c r="D104" s="6">
        <v>3</v>
      </c>
      <c r="E104" s="6">
        <v>1</v>
      </c>
      <c r="F104" s="6">
        <v>2.4</v>
      </c>
      <c r="G104" s="6">
        <v>0.3</v>
      </c>
      <c r="H104" s="6">
        <v>53</v>
      </c>
      <c r="I104" s="7">
        <v>42120</v>
      </c>
    </row>
    <row r="105" spans="1:9" x14ac:dyDescent="0.25">
      <c r="A105" s="5">
        <v>43573</v>
      </c>
      <c r="B105" s="6" t="s">
        <v>43</v>
      </c>
      <c r="C105" s="6" t="s">
        <v>18</v>
      </c>
      <c r="D105" s="6">
        <v>2</v>
      </c>
      <c r="E105" s="6">
        <v>0</v>
      </c>
      <c r="F105" s="6">
        <v>1.1000000000000001</v>
      </c>
      <c r="G105" s="6">
        <v>1.3</v>
      </c>
      <c r="H105" s="6">
        <v>39</v>
      </c>
      <c r="I105" s="7">
        <v>26403</v>
      </c>
    </row>
    <row r="106" spans="1:9" x14ac:dyDescent="0.25">
      <c r="A106" s="5">
        <v>43576</v>
      </c>
      <c r="B106" s="6" t="s">
        <v>44</v>
      </c>
      <c r="C106" s="6" t="s">
        <v>18</v>
      </c>
      <c r="D106" s="6">
        <v>2</v>
      </c>
      <c r="E106" s="6">
        <v>1</v>
      </c>
      <c r="F106" s="6">
        <v>0.2</v>
      </c>
      <c r="G106" s="6">
        <v>2.1</v>
      </c>
      <c r="H106" s="6">
        <v>34</v>
      </c>
      <c r="I106" s="7">
        <v>42508</v>
      </c>
    </row>
    <row r="107" spans="1:9" x14ac:dyDescent="0.25">
      <c r="A107" s="5">
        <v>43579</v>
      </c>
      <c r="B107" s="6" t="s">
        <v>44</v>
      </c>
      <c r="C107" s="6" t="s">
        <v>19</v>
      </c>
      <c r="D107" s="6">
        <v>2</v>
      </c>
      <c r="E107" s="6">
        <v>3</v>
      </c>
      <c r="F107" s="6">
        <v>2.1</v>
      </c>
      <c r="G107" s="6">
        <v>1.6</v>
      </c>
      <c r="H107" s="6">
        <v>44</v>
      </c>
      <c r="I107" s="7">
        <v>43531</v>
      </c>
    </row>
    <row r="108" spans="1:9" x14ac:dyDescent="0.25">
      <c r="A108" s="5">
        <v>43583</v>
      </c>
      <c r="B108" s="6" t="s">
        <v>43</v>
      </c>
      <c r="C108" s="6" t="s">
        <v>19</v>
      </c>
      <c r="D108" s="6">
        <v>0</v>
      </c>
      <c r="E108" s="6">
        <v>1</v>
      </c>
      <c r="F108" s="6">
        <v>0.5</v>
      </c>
      <c r="G108" s="6">
        <v>1.3</v>
      </c>
      <c r="H108" s="6">
        <v>49</v>
      </c>
      <c r="I108" s="7">
        <v>35393</v>
      </c>
    </row>
    <row r="109" spans="1:9" x14ac:dyDescent="0.25">
      <c r="A109" s="5">
        <v>43587</v>
      </c>
      <c r="B109" s="6" t="s">
        <v>44</v>
      </c>
      <c r="C109" s="6" t="s">
        <v>19</v>
      </c>
      <c r="D109" s="6">
        <v>1</v>
      </c>
      <c r="E109" s="6">
        <v>3</v>
      </c>
      <c r="F109" s="6">
        <v>2.6</v>
      </c>
      <c r="G109" s="6">
        <v>2.2999999999999998</v>
      </c>
      <c r="H109" s="6">
        <v>43</v>
      </c>
      <c r="I109" s="7">
        <v>58969</v>
      </c>
    </row>
    <row r="110" spans="1:9" x14ac:dyDescent="0.25">
      <c r="A110" s="5">
        <v>43590</v>
      </c>
      <c r="B110" s="6" t="s">
        <v>44</v>
      </c>
      <c r="C110" s="6" t="s">
        <v>18</v>
      </c>
      <c r="D110" s="6">
        <v>6</v>
      </c>
      <c r="E110" s="6">
        <v>2</v>
      </c>
      <c r="F110" s="6">
        <v>2.4</v>
      </c>
      <c r="G110" s="6">
        <v>3.1</v>
      </c>
      <c r="H110" s="6">
        <v>48</v>
      </c>
      <c r="I110" s="7">
        <v>6378</v>
      </c>
    </row>
    <row r="111" spans="1:9" x14ac:dyDescent="0.25">
      <c r="A111" s="5">
        <v>43594</v>
      </c>
      <c r="B111" s="6" t="s">
        <v>43</v>
      </c>
      <c r="C111" s="6" t="s">
        <v>19</v>
      </c>
      <c r="D111" s="6">
        <v>2</v>
      </c>
      <c r="E111" s="6">
        <v>4</v>
      </c>
      <c r="F111" s="6">
        <v>2.5</v>
      </c>
      <c r="G111" s="6">
        <v>0.7</v>
      </c>
      <c r="H111" s="6">
        <v>56</v>
      </c>
      <c r="I111" s="7">
        <v>44481</v>
      </c>
    </row>
    <row r="112" spans="1:9" x14ac:dyDescent="0.25">
      <c r="A112" s="5">
        <v>43597</v>
      </c>
      <c r="B112" s="6" t="s">
        <v>43</v>
      </c>
      <c r="C112" s="6" t="s">
        <v>18</v>
      </c>
      <c r="D112" s="6">
        <v>3</v>
      </c>
      <c r="E112" s="6">
        <v>1</v>
      </c>
      <c r="F112" s="6">
        <v>1.9</v>
      </c>
      <c r="G112" s="6">
        <v>0.8</v>
      </c>
      <c r="H112" s="6">
        <v>43</v>
      </c>
      <c r="I112" s="7">
        <v>37744</v>
      </c>
    </row>
    <row r="113" spans="1:9" x14ac:dyDescent="0.25">
      <c r="A113" s="5">
        <v>43603</v>
      </c>
      <c r="B113" s="6" t="s">
        <v>44</v>
      </c>
      <c r="C113" s="6" t="s">
        <v>18</v>
      </c>
      <c r="D113" s="6">
        <v>2</v>
      </c>
      <c r="E113" s="6">
        <v>0</v>
      </c>
      <c r="F113" s="6">
        <v>1.5</v>
      </c>
      <c r="G113" s="6">
        <v>0.8</v>
      </c>
      <c r="H113" s="6">
        <v>51</v>
      </c>
      <c r="I113" s="7">
        <v>23455</v>
      </c>
    </row>
    <row r="114" spans="1:9" x14ac:dyDescent="0.25">
      <c r="A114" s="5">
        <v>43610</v>
      </c>
      <c r="B114" s="6" t="s">
        <v>186</v>
      </c>
      <c r="C114" s="6" t="s">
        <v>18</v>
      </c>
      <c r="D114" s="6">
        <v>2</v>
      </c>
      <c r="E114" s="6">
        <v>1</v>
      </c>
      <c r="F114" s="6"/>
      <c r="G114" s="6"/>
      <c r="H114" s="6">
        <v>23</v>
      </c>
      <c r="I114" s="7">
        <v>53698</v>
      </c>
    </row>
    <row r="115" spans="1:9" x14ac:dyDescent="0.25">
      <c r="A115" s="5">
        <v>43694</v>
      </c>
      <c r="B115" s="6" t="s">
        <v>43</v>
      </c>
      <c r="C115" s="6" t="s">
        <v>4</v>
      </c>
      <c r="D115" s="6">
        <v>1</v>
      </c>
      <c r="E115" s="6">
        <v>1</v>
      </c>
      <c r="F115" s="6">
        <v>2.2999999999999998</v>
      </c>
      <c r="G115" s="6">
        <v>1.8</v>
      </c>
      <c r="H115" s="6">
        <v>37</v>
      </c>
      <c r="I115" s="7">
        <v>41846</v>
      </c>
    </row>
    <row r="116" spans="1:9" x14ac:dyDescent="0.25">
      <c r="A116" s="5">
        <v>43701</v>
      </c>
      <c r="B116" s="6" t="s">
        <v>44</v>
      </c>
      <c r="C116" s="6" t="s">
        <v>19</v>
      </c>
      <c r="D116" s="6">
        <v>0</v>
      </c>
      <c r="E116" s="6">
        <v>1</v>
      </c>
      <c r="F116" s="6">
        <v>1</v>
      </c>
      <c r="G116" s="6">
        <v>1.9</v>
      </c>
      <c r="H116" s="6">
        <v>46</v>
      </c>
      <c r="I116" s="7">
        <v>20034</v>
      </c>
    </row>
    <row r="119" spans="1:9" x14ac:dyDescent="0.25">
      <c r="H119">
        <f>AVERAGE(H8:H116)</f>
        <v>47.871287128712872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4BBF8-F65C-4CC1-B5E3-64B3463130BC}">
  <dimension ref="A1:Q76"/>
  <sheetViews>
    <sheetView workbookViewId="0">
      <selection activeCell="K27" sqref="K27"/>
    </sheetView>
  </sheetViews>
  <sheetFormatPr defaultRowHeight="15" x14ac:dyDescent="0.25"/>
  <cols>
    <col min="1" max="1" width="11.7109375" style="4" customWidth="1"/>
  </cols>
  <sheetData>
    <row r="1" spans="1:17" x14ac:dyDescent="0.25">
      <c r="A1" s="4" t="s">
        <v>292</v>
      </c>
    </row>
    <row r="2" spans="1:17" x14ac:dyDescent="0.25">
      <c r="A2" s="4" t="s">
        <v>293</v>
      </c>
    </row>
    <row r="3" spans="1:17" x14ac:dyDescent="0.25">
      <c r="A3" s="4" t="s">
        <v>294</v>
      </c>
    </row>
    <row r="4" spans="1:17" x14ac:dyDescent="0.25">
      <c r="A4" s="4" t="s">
        <v>295</v>
      </c>
    </row>
    <row r="6" spans="1:17" x14ac:dyDescent="0.25">
      <c r="A6" s="4" t="s">
        <v>573</v>
      </c>
    </row>
    <row r="7" spans="1:17" s="36" customFormat="1" x14ac:dyDescent="0.25">
      <c r="A7" s="35" t="s">
        <v>0</v>
      </c>
      <c r="B7" s="36" t="s">
        <v>53</v>
      </c>
      <c r="C7" s="36" t="s">
        <v>54</v>
      </c>
      <c r="D7" s="36" t="s">
        <v>20</v>
      </c>
      <c r="E7" s="36" t="s">
        <v>21</v>
      </c>
      <c r="F7" s="36" t="s">
        <v>55</v>
      </c>
      <c r="G7" s="36" t="s">
        <v>56</v>
      </c>
      <c r="H7" s="36" t="s">
        <v>57</v>
      </c>
      <c r="I7" s="36" t="s">
        <v>24</v>
      </c>
      <c r="O7" s="36" t="s">
        <v>567</v>
      </c>
    </row>
    <row r="8" spans="1:17" x14ac:dyDescent="0.25">
      <c r="A8" s="4">
        <v>43332</v>
      </c>
      <c r="B8" t="s">
        <v>43</v>
      </c>
      <c r="C8" t="s">
        <v>4</v>
      </c>
      <c r="D8">
        <v>1</v>
      </c>
      <c r="E8">
        <v>1</v>
      </c>
      <c r="F8">
        <v>1.1000000000000001</v>
      </c>
      <c r="G8">
        <v>0.9</v>
      </c>
      <c r="H8">
        <v>51</v>
      </c>
      <c r="I8" s="2">
        <v>46174</v>
      </c>
      <c r="O8">
        <v>0</v>
      </c>
      <c r="P8" s="1"/>
      <c r="Q8" s="1"/>
    </row>
    <row r="9" spans="1:17" x14ac:dyDescent="0.25">
      <c r="A9" s="4">
        <v>43338</v>
      </c>
      <c r="B9" t="s">
        <v>44</v>
      </c>
      <c r="C9" t="s">
        <v>19</v>
      </c>
      <c r="D9">
        <v>0</v>
      </c>
      <c r="E9">
        <v>2</v>
      </c>
      <c r="F9">
        <v>1.9</v>
      </c>
      <c r="G9">
        <v>1.3</v>
      </c>
      <c r="H9">
        <v>51</v>
      </c>
      <c r="I9" s="2">
        <v>18714</v>
      </c>
      <c r="P9" s="1"/>
    </row>
    <row r="10" spans="1:17" x14ac:dyDescent="0.25">
      <c r="A10" s="4">
        <v>43345</v>
      </c>
      <c r="B10" t="s">
        <v>44</v>
      </c>
      <c r="C10" t="s">
        <v>4</v>
      </c>
      <c r="D10">
        <v>2</v>
      </c>
      <c r="E10">
        <v>2</v>
      </c>
      <c r="F10">
        <v>4.0999999999999996</v>
      </c>
      <c r="G10">
        <v>1.6</v>
      </c>
      <c r="H10">
        <v>54</v>
      </c>
      <c r="I10" s="2">
        <v>24073</v>
      </c>
      <c r="P10" s="1"/>
      <c r="Q10" s="1"/>
    </row>
    <row r="11" spans="1:17" x14ac:dyDescent="0.25">
      <c r="A11" s="4">
        <v>43358</v>
      </c>
      <c r="B11" t="s">
        <v>43</v>
      </c>
      <c r="C11" t="s">
        <v>4</v>
      </c>
      <c r="D11">
        <v>0</v>
      </c>
      <c r="E11">
        <v>0</v>
      </c>
      <c r="F11">
        <v>1</v>
      </c>
      <c r="G11">
        <v>1</v>
      </c>
      <c r="H11">
        <v>40</v>
      </c>
      <c r="I11" s="2">
        <v>40050</v>
      </c>
      <c r="P11" s="1"/>
      <c r="Q11" s="1"/>
    </row>
    <row r="12" spans="1:17" x14ac:dyDescent="0.25">
      <c r="A12" s="4">
        <v>43362</v>
      </c>
      <c r="B12" t="s">
        <v>43</v>
      </c>
      <c r="C12" t="s">
        <v>19</v>
      </c>
      <c r="D12">
        <v>0</v>
      </c>
      <c r="E12">
        <v>2</v>
      </c>
      <c r="F12">
        <v>2</v>
      </c>
      <c r="G12">
        <v>3.7</v>
      </c>
      <c r="H12">
        <v>54</v>
      </c>
      <c r="I12" s="2">
        <v>46067</v>
      </c>
      <c r="P12" s="1"/>
      <c r="Q12" s="1"/>
    </row>
    <row r="13" spans="1:17" x14ac:dyDescent="0.25">
      <c r="A13" s="4">
        <v>43366</v>
      </c>
      <c r="B13" t="s">
        <v>44</v>
      </c>
      <c r="C13" t="s">
        <v>4</v>
      </c>
      <c r="D13">
        <v>0</v>
      </c>
      <c r="E13">
        <v>0</v>
      </c>
      <c r="F13">
        <v>0.4</v>
      </c>
      <c r="G13">
        <v>0.7</v>
      </c>
      <c r="H13">
        <v>45</v>
      </c>
      <c r="I13" s="2">
        <v>18373</v>
      </c>
      <c r="P13" s="1"/>
      <c r="Q13" s="1"/>
    </row>
    <row r="14" spans="1:17" x14ac:dyDescent="0.25">
      <c r="A14" s="4">
        <v>43369</v>
      </c>
      <c r="B14" t="s">
        <v>43</v>
      </c>
      <c r="C14" t="s">
        <v>4</v>
      </c>
      <c r="D14">
        <v>1</v>
      </c>
      <c r="E14">
        <v>1</v>
      </c>
      <c r="F14">
        <v>1.1000000000000001</v>
      </c>
      <c r="G14">
        <v>0.4</v>
      </c>
      <c r="H14">
        <v>37</v>
      </c>
      <c r="I14" s="2">
        <v>35945</v>
      </c>
      <c r="P14" s="1"/>
      <c r="Q14" s="1"/>
    </row>
    <row r="15" spans="1:17" x14ac:dyDescent="0.25">
      <c r="A15" s="4">
        <v>43372</v>
      </c>
      <c r="B15" t="s">
        <v>44</v>
      </c>
      <c r="C15" t="s">
        <v>18</v>
      </c>
      <c r="D15">
        <v>1</v>
      </c>
      <c r="E15">
        <v>0</v>
      </c>
      <c r="F15">
        <v>0.9</v>
      </c>
      <c r="G15">
        <v>1.3</v>
      </c>
      <c r="H15">
        <v>46</v>
      </c>
      <c r="I15" s="2">
        <v>23577</v>
      </c>
      <c r="P15" s="1"/>
      <c r="Q15" s="1"/>
    </row>
    <row r="16" spans="1:17" x14ac:dyDescent="0.25">
      <c r="A16" s="4">
        <v>43375</v>
      </c>
      <c r="B16" t="s">
        <v>44</v>
      </c>
      <c r="C16" t="s">
        <v>4</v>
      </c>
      <c r="D16">
        <v>0</v>
      </c>
      <c r="E16">
        <v>0</v>
      </c>
      <c r="F16">
        <v>0.4</v>
      </c>
      <c r="G16">
        <v>0.9</v>
      </c>
      <c r="H16">
        <v>48</v>
      </c>
      <c r="I16" s="2">
        <v>73569</v>
      </c>
      <c r="P16" s="1"/>
      <c r="Q16" s="1"/>
    </row>
    <row r="17" spans="1:17" x14ac:dyDescent="0.25">
      <c r="A17" s="4">
        <v>43380</v>
      </c>
      <c r="B17" t="s">
        <v>43</v>
      </c>
      <c r="C17" t="s">
        <v>4</v>
      </c>
      <c r="D17">
        <v>1</v>
      </c>
      <c r="E17">
        <v>1</v>
      </c>
      <c r="F17">
        <v>1.5</v>
      </c>
      <c r="G17">
        <v>0.4</v>
      </c>
      <c r="H17">
        <v>25</v>
      </c>
      <c r="I17" s="2">
        <v>46249</v>
      </c>
      <c r="P17" s="1"/>
      <c r="Q17" s="1"/>
    </row>
    <row r="18" spans="1:17" x14ac:dyDescent="0.25">
      <c r="A18" s="4">
        <v>43393</v>
      </c>
      <c r="B18" t="s">
        <v>43</v>
      </c>
      <c r="C18" t="s">
        <v>4</v>
      </c>
      <c r="D18">
        <v>1</v>
      </c>
      <c r="E18">
        <v>1</v>
      </c>
      <c r="F18">
        <v>1.3</v>
      </c>
      <c r="G18">
        <v>1</v>
      </c>
      <c r="H18">
        <v>59</v>
      </c>
      <c r="I18" s="2">
        <v>35597</v>
      </c>
      <c r="P18" s="1"/>
    </row>
    <row r="19" spans="1:17" x14ac:dyDescent="0.25">
      <c r="A19" s="4">
        <v>43396</v>
      </c>
      <c r="B19" t="s">
        <v>44</v>
      </c>
      <c r="C19" t="s">
        <v>4</v>
      </c>
      <c r="D19">
        <v>1</v>
      </c>
      <c r="E19">
        <v>1</v>
      </c>
      <c r="F19">
        <v>0.9</v>
      </c>
      <c r="G19">
        <v>1.9</v>
      </c>
      <c r="H19">
        <v>55</v>
      </c>
      <c r="I19" s="2">
        <v>31120</v>
      </c>
      <c r="P19" s="1"/>
      <c r="Q19" s="1"/>
    </row>
    <row r="20" spans="1:17" x14ac:dyDescent="0.25">
      <c r="A20" s="4">
        <v>43400</v>
      </c>
      <c r="B20" t="s">
        <v>44</v>
      </c>
      <c r="C20" t="s">
        <v>4</v>
      </c>
      <c r="D20">
        <v>0</v>
      </c>
      <c r="E20">
        <v>0</v>
      </c>
      <c r="F20">
        <v>0.5</v>
      </c>
      <c r="G20">
        <v>0.7</v>
      </c>
      <c r="H20">
        <v>48</v>
      </c>
      <c r="I20" s="2">
        <v>39261</v>
      </c>
      <c r="P20" s="1"/>
    </row>
    <row r="21" spans="1:17" x14ac:dyDescent="0.25">
      <c r="A21" s="4">
        <v>43403</v>
      </c>
      <c r="B21" t="s">
        <v>44</v>
      </c>
      <c r="C21" t="s">
        <v>18</v>
      </c>
      <c r="D21">
        <v>2</v>
      </c>
      <c r="E21">
        <v>1</v>
      </c>
      <c r="H21">
        <v>72</v>
      </c>
      <c r="I21" s="2">
        <v>9911</v>
      </c>
      <c r="P21" s="1"/>
      <c r="Q21" s="1"/>
    </row>
    <row r="22" spans="1:17" x14ac:dyDescent="0.25">
      <c r="A22" s="4">
        <v>43407</v>
      </c>
      <c r="B22" t="s">
        <v>43</v>
      </c>
      <c r="C22" t="s">
        <v>19</v>
      </c>
      <c r="D22">
        <v>0</v>
      </c>
      <c r="E22">
        <v>1</v>
      </c>
      <c r="F22">
        <v>2.2999999999999998</v>
      </c>
      <c r="G22">
        <v>0.3</v>
      </c>
      <c r="H22">
        <v>54</v>
      </c>
      <c r="I22" s="2">
        <v>38745</v>
      </c>
      <c r="P22" s="1"/>
      <c r="Q22" s="1"/>
    </row>
    <row r="23" spans="1:17" x14ac:dyDescent="0.25">
      <c r="A23" s="4">
        <v>43411</v>
      </c>
      <c r="B23" t="s">
        <v>43</v>
      </c>
      <c r="C23" t="s">
        <v>18</v>
      </c>
      <c r="D23">
        <v>3</v>
      </c>
      <c r="E23">
        <v>1</v>
      </c>
      <c r="F23">
        <v>1.8</v>
      </c>
      <c r="G23">
        <v>1</v>
      </c>
      <c r="H23">
        <v>55</v>
      </c>
      <c r="I23" s="2">
        <v>36480</v>
      </c>
      <c r="P23" s="1"/>
      <c r="Q23" s="1"/>
    </row>
    <row r="24" spans="1:17" x14ac:dyDescent="0.25">
      <c r="A24" s="4">
        <v>43414</v>
      </c>
      <c r="B24" t="s">
        <v>44</v>
      </c>
      <c r="C24" t="s">
        <v>18</v>
      </c>
      <c r="D24">
        <v>1</v>
      </c>
      <c r="E24">
        <v>0</v>
      </c>
      <c r="F24">
        <v>2.2000000000000002</v>
      </c>
      <c r="G24">
        <v>1.5</v>
      </c>
      <c r="H24">
        <v>62</v>
      </c>
      <c r="I24" s="2">
        <v>10011</v>
      </c>
      <c r="P24" s="1"/>
      <c r="Q24" s="1"/>
    </row>
    <row r="25" spans="1:17" x14ac:dyDescent="0.25">
      <c r="A25" s="4">
        <v>43428</v>
      </c>
      <c r="B25" t="s">
        <v>43</v>
      </c>
      <c r="C25" t="s">
        <v>18</v>
      </c>
      <c r="D25">
        <v>3</v>
      </c>
      <c r="E25">
        <v>0</v>
      </c>
      <c r="F25">
        <v>1.9</v>
      </c>
      <c r="G25">
        <v>0.8</v>
      </c>
      <c r="H25">
        <v>50</v>
      </c>
      <c r="I25" s="2">
        <v>37814</v>
      </c>
      <c r="P25" s="1"/>
    </row>
    <row r="26" spans="1:17" x14ac:dyDescent="0.25">
      <c r="A26" s="4">
        <v>43431</v>
      </c>
      <c r="B26" t="s">
        <v>44</v>
      </c>
      <c r="C26" t="s">
        <v>19</v>
      </c>
      <c r="D26">
        <v>0</v>
      </c>
      <c r="E26">
        <v>1</v>
      </c>
      <c r="F26">
        <v>0.3</v>
      </c>
      <c r="G26">
        <v>1.8</v>
      </c>
      <c r="H26">
        <v>44</v>
      </c>
      <c r="I26" s="2">
        <v>39070</v>
      </c>
      <c r="P26" s="1"/>
      <c r="Q26" s="1"/>
    </row>
    <row r="27" spans="1:17" x14ac:dyDescent="0.25">
      <c r="A27" s="4">
        <v>43435</v>
      </c>
      <c r="B27" t="s">
        <v>44</v>
      </c>
      <c r="C27" t="s">
        <v>19</v>
      </c>
      <c r="D27">
        <v>0</v>
      </c>
      <c r="E27">
        <v>2</v>
      </c>
      <c r="F27">
        <v>0.8</v>
      </c>
      <c r="G27">
        <v>0.8</v>
      </c>
      <c r="H27">
        <v>40</v>
      </c>
      <c r="I27" s="2">
        <v>69653</v>
      </c>
      <c r="P27" s="1"/>
      <c r="Q27" s="1"/>
    </row>
    <row r="28" spans="1:17" x14ac:dyDescent="0.25">
      <c r="A28" s="4">
        <v>43438</v>
      </c>
      <c r="B28" t="s">
        <v>43</v>
      </c>
      <c r="C28" t="s">
        <v>18</v>
      </c>
      <c r="D28">
        <v>1</v>
      </c>
      <c r="E28">
        <v>0</v>
      </c>
      <c r="H28">
        <v>55</v>
      </c>
      <c r="I28" s="2">
        <v>23272</v>
      </c>
      <c r="P28" s="1"/>
      <c r="Q28" s="1"/>
    </row>
    <row r="29" spans="1:17" x14ac:dyDescent="0.25">
      <c r="A29" s="4">
        <v>43442</v>
      </c>
      <c r="B29" t="s">
        <v>43</v>
      </c>
      <c r="C29" t="s">
        <v>4</v>
      </c>
      <c r="D29">
        <v>1</v>
      </c>
      <c r="E29">
        <v>1</v>
      </c>
      <c r="F29">
        <v>1.2</v>
      </c>
      <c r="G29">
        <v>1.7</v>
      </c>
      <c r="H29">
        <v>54</v>
      </c>
      <c r="I29" s="2">
        <v>40057</v>
      </c>
      <c r="P29" s="1"/>
      <c r="Q29" s="1"/>
    </row>
    <row r="30" spans="1:17" x14ac:dyDescent="0.25">
      <c r="A30" s="4">
        <v>43446</v>
      </c>
      <c r="B30" t="s">
        <v>43</v>
      </c>
      <c r="C30" t="s">
        <v>18</v>
      </c>
      <c r="D30">
        <v>2</v>
      </c>
      <c r="E30">
        <v>1</v>
      </c>
      <c r="F30">
        <v>1.4</v>
      </c>
      <c r="G30">
        <v>1.8</v>
      </c>
      <c r="H30">
        <v>46</v>
      </c>
      <c r="I30" s="2">
        <v>36544</v>
      </c>
      <c r="P30" s="1"/>
      <c r="Q30" s="1"/>
    </row>
    <row r="31" spans="1:17" x14ac:dyDescent="0.25">
      <c r="A31" s="4">
        <v>43449</v>
      </c>
      <c r="B31" t="s">
        <v>44</v>
      </c>
      <c r="C31" t="s">
        <v>4</v>
      </c>
      <c r="D31">
        <v>1</v>
      </c>
      <c r="E31">
        <v>1</v>
      </c>
      <c r="F31">
        <v>2.1</v>
      </c>
      <c r="G31">
        <v>1.6</v>
      </c>
      <c r="H31">
        <v>44</v>
      </c>
      <c r="I31" s="2">
        <v>4491</v>
      </c>
      <c r="P31" s="1"/>
      <c r="Q31" s="1"/>
    </row>
    <row r="32" spans="1:17" x14ac:dyDescent="0.25">
      <c r="A32" s="4">
        <v>43457</v>
      </c>
      <c r="B32" t="s">
        <v>43</v>
      </c>
      <c r="C32" t="s">
        <v>18</v>
      </c>
      <c r="D32">
        <v>2</v>
      </c>
      <c r="E32">
        <v>1</v>
      </c>
      <c r="F32">
        <v>3.2</v>
      </c>
      <c r="G32">
        <v>2.2999999999999998</v>
      </c>
      <c r="H32">
        <v>49</v>
      </c>
      <c r="I32" s="2">
        <v>36547</v>
      </c>
      <c r="P32" s="1"/>
    </row>
    <row r="33" spans="1:17" x14ac:dyDescent="0.25">
      <c r="A33" s="4">
        <v>43470</v>
      </c>
      <c r="B33" t="s">
        <v>44</v>
      </c>
      <c r="C33" t="s">
        <v>19</v>
      </c>
      <c r="D33">
        <v>1</v>
      </c>
      <c r="E33">
        <v>2</v>
      </c>
      <c r="F33">
        <v>1.1000000000000001</v>
      </c>
      <c r="G33">
        <v>1.9</v>
      </c>
      <c r="H33">
        <v>55</v>
      </c>
      <c r="I33" s="2">
        <v>18304</v>
      </c>
      <c r="P33" s="1"/>
      <c r="Q33" s="1"/>
    </row>
    <row r="34" spans="1:17" x14ac:dyDescent="0.25">
      <c r="A34" s="4">
        <v>43473</v>
      </c>
      <c r="B34" t="s">
        <v>44</v>
      </c>
      <c r="C34" t="s">
        <v>19</v>
      </c>
      <c r="D34">
        <v>1</v>
      </c>
      <c r="E34">
        <v>2</v>
      </c>
      <c r="H34">
        <v>54</v>
      </c>
      <c r="I34" s="2">
        <v>9870</v>
      </c>
      <c r="P34" s="1"/>
      <c r="Q34" s="1"/>
    </row>
    <row r="35" spans="1:17" x14ac:dyDescent="0.25">
      <c r="A35" s="4">
        <v>43477</v>
      </c>
      <c r="B35" t="s">
        <v>43</v>
      </c>
      <c r="C35" t="s">
        <v>4</v>
      </c>
      <c r="D35">
        <v>1</v>
      </c>
      <c r="E35">
        <v>1</v>
      </c>
      <c r="F35">
        <v>3.5</v>
      </c>
      <c r="G35">
        <v>0.2</v>
      </c>
      <c r="H35">
        <v>63</v>
      </c>
      <c r="I35" s="2">
        <v>36912</v>
      </c>
      <c r="P35" s="1"/>
      <c r="Q35" s="1"/>
    </row>
    <row r="36" spans="1:17" x14ac:dyDescent="0.25">
      <c r="A36" s="4">
        <v>43480</v>
      </c>
      <c r="B36" t="s">
        <v>43</v>
      </c>
      <c r="C36" t="s">
        <v>18</v>
      </c>
      <c r="D36">
        <v>3</v>
      </c>
      <c r="E36">
        <v>0</v>
      </c>
      <c r="H36">
        <v>57</v>
      </c>
      <c r="I36" s="2">
        <v>33149</v>
      </c>
      <c r="P36" s="1"/>
      <c r="Q36" s="1"/>
    </row>
    <row r="37" spans="1:17" x14ac:dyDescent="0.25">
      <c r="A37" s="4">
        <v>43484</v>
      </c>
      <c r="B37" t="s">
        <v>44</v>
      </c>
      <c r="C37" t="s">
        <v>18</v>
      </c>
      <c r="D37">
        <v>2</v>
      </c>
      <c r="E37">
        <v>1</v>
      </c>
      <c r="F37">
        <v>1.2</v>
      </c>
      <c r="G37">
        <v>0.8</v>
      </c>
      <c r="H37">
        <v>44</v>
      </c>
      <c r="I37" s="2">
        <v>15668</v>
      </c>
      <c r="P37" s="1"/>
    </row>
    <row r="38" spans="1:17" x14ac:dyDescent="0.25">
      <c r="A38" s="4">
        <v>43487</v>
      </c>
      <c r="B38" t="s">
        <v>44</v>
      </c>
      <c r="C38" t="s">
        <v>19</v>
      </c>
      <c r="D38">
        <v>0</v>
      </c>
      <c r="E38">
        <v>1</v>
      </c>
      <c r="H38">
        <v>59</v>
      </c>
      <c r="I38" s="2">
        <v>7021</v>
      </c>
    </row>
    <row r="39" spans="1:17" x14ac:dyDescent="0.25">
      <c r="A39" s="4">
        <v>43491</v>
      </c>
      <c r="B39" t="s">
        <v>43</v>
      </c>
      <c r="C39" t="s">
        <v>18</v>
      </c>
      <c r="D39">
        <v>3</v>
      </c>
      <c r="E39">
        <v>0</v>
      </c>
      <c r="F39">
        <v>1.5</v>
      </c>
      <c r="G39">
        <v>0.7</v>
      </c>
      <c r="H39">
        <v>45</v>
      </c>
      <c r="I39" s="2">
        <v>37685</v>
      </c>
      <c r="P39" s="1"/>
      <c r="Q39" s="1"/>
    </row>
    <row r="40" spans="1:17" x14ac:dyDescent="0.25">
      <c r="A40" s="4">
        <v>43494</v>
      </c>
      <c r="B40" t="s">
        <v>43</v>
      </c>
      <c r="C40" t="s">
        <v>18</v>
      </c>
      <c r="D40">
        <v>3</v>
      </c>
      <c r="E40">
        <v>1</v>
      </c>
      <c r="H40">
        <v>69</v>
      </c>
      <c r="I40" s="2">
        <v>34140</v>
      </c>
      <c r="P40" s="1"/>
    </row>
    <row r="41" spans="1:17" x14ac:dyDescent="0.25">
      <c r="A41" s="4">
        <v>43498</v>
      </c>
      <c r="B41" t="s">
        <v>44</v>
      </c>
      <c r="C41" t="s">
        <v>4</v>
      </c>
      <c r="D41">
        <v>2</v>
      </c>
      <c r="E41">
        <v>2</v>
      </c>
      <c r="F41">
        <v>3.3</v>
      </c>
      <c r="G41">
        <v>2</v>
      </c>
      <c r="H41">
        <v>32</v>
      </c>
      <c r="I41" s="2">
        <v>76789</v>
      </c>
      <c r="P41" s="1"/>
      <c r="Q41" s="1"/>
    </row>
    <row r="42" spans="1:17" x14ac:dyDescent="0.25">
      <c r="A42" s="4">
        <v>43503</v>
      </c>
      <c r="B42" t="s">
        <v>44</v>
      </c>
      <c r="C42" t="s">
        <v>4</v>
      </c>
      <c r="D42">
        <v>2</v>
      </c>
      <c r="E42">
        <v>2</v>
      </c>
      <c r="H42">
        <v>33</v>
      </c>
      <c r="I42" s="2">
        <v>57123</v>
      </c>
      <c r="P42" s="1"/>
      <c r="Q42" s="1"/>
    </row>
    <row r="43" spans="1:17" x14ac:dyDescent="0.25">
      <c r="A43" s="4">
        <v>43506</v>
      </c>
      <c r="B43" t="s">
        <v>43</v>
      </c>
      <c r="C43" t="s">
        <v>4</v>
      </c>
      <c r="D43">
        <v>0</v>
      </c>
      <c r="E43">
        <v>0</v>
      </c>
      <c r="F43">
        <v>1.5</v>
      </c>
      <c r="G43">
        <v>0.5</v>
      </c>
      <c r="H43">
        <v>42</v>
      </c>
      <c r="I43" s="2">
        <v>38885</v>
      </c>
      <c r="P43" s="1"/>
    </row>
    <row r="44" spans="1:17" x14ac:dyDescent="0.25">
      <c r="A44" s="4">
        <v>43510</v>
      </c>
      <c r="B44" t="s">
        <v>44</v>
      </c>
      <c r="C44" t="s">
        <v>18</v>
      </c>
      <c r="D44">
        <v>2</v>
      </c>
      <c r="E44">
        <v>0</v>
      </c>
      <c r="F44">
        <v>1.3</v>
      </c>
      <c r="G44">
        <v>0.2</v>
      </c>
      <c r="H44">
        <v>36</v>
      </c>
      <c r="I44" s="2">
        <v>57430</v>
      </c>
      <c r="P44" s="1"/>
    </row>
    <row r="45" spans="1:17" x14ac:dyDescent="0.25">
      <c r="A45" s="4">
        <v>43513</v>
      </c>
      <c r="B45" t="s">
        <v>43</v>
      </c>
      <c r="C45" t="s">
        <v>4</v>
      </c>
      <c r="D45">
        <v>0</v>
      </c>
      <c r="E45">
        <v>0</v>
      </c>
      <c r="F45">
        <v>1.7</v>
      </c>
      <c r="G45">
        <v>0.4</v>
      </c>
      <c r="H45">
        <v>52</v>
      </c>
      <c r="I45" s="2">
        <v>39564</v>
      </c>
      <c r="P45" s="1"/>
    </row>
    <row r="46" spans="1:17" x14ac:dyDescent="0.25">
      <c r="A46" s="4">
        <v>43517</v>
      </c>
      <c r="B46" t="s">
        <v>43</v>
      </c>
      <c r="C46" t="s">
        <v>18</v>
      </c>
      <c r="D46">
        <v>1</v>
      </c>
      <c r="E46">
        <v>0</v>
      </c>
      <c r="F46">
        <v>2</v>
      </c>
      <c r="G46">
        <v>1.1000000000000001</v>
      </c>
      <c r="H46">
        <v>55</v>
      </c>
      <c r="I46" s="2">
        <v>36619</v>
      </c>
      <c r="P46" s="1"/>
    </row>
    <row r="47" spans="1:17" x14ac:dyDescent="0.25">
      <c r="A47" s="4">
        <v>43520</v>
      </c>
      <c r="B47" t="s">
        <v>44</v>
      </c>
      <c r="C47" t="s">
        <v>4</v>
      </c>
      <c r="D47">
        <v>1</v>
      </c>
      <c r="E47">
        <v>1</v>
      </c>
      <c r="F47">
        <v>0.5</v>
      </c>
      <c r="G47">
        <v>1.8</v>
      </c>
      <c r="H47">
        <v>50</v>
      </c>
      <c r="I47" s="2">
        <v>11425</v>
      </c>
      <c r="P47" s="1"/>
      <c r="Q47" s="1"/>
    </row>
    <row r="48" spans="1:17" x14ac:dyDescent="0.25">
      <c r="A48" s="4">
        <v>43524</v>
      </c>
      <c r="B48" t="s">
        <v>43</v>
      </c>
      <c r="C48" t="s">
        <v>18</v>
      </c>
      <c r="D48">
        <v>1</v>
      </c>
      <c r="E48">
        <v>0</v>
      </c>
      <c r="H48">
        <v>32</v>
      </c>
      <c r="I48" s="2">
        <v>45222</v>
      </c>
      <c r="P48" s="1"/>
      <c r="Q48" s="1"/>
    </row>
    <row r="49" spans="1:17" x14ac:dyDescent="0.25">
      <c r="A49" s="4">
        <v>43527</v>
      </c>
      <c r="B49" t="s">
        <v>43</v>
      </c>
      <c r="C49" t="s">
        <v>18</v>
      </c>
      <c r="D49">
        <v>2</v>
      </c>
      <c r="E49">
        <v>0</v>
      </c>
      <c r="F49">
        <v>1.3</v>
      </c>
      <c r="G49">
        <v>0.4</v>
      </c>
      <c r="H49">
        <v>51</v>
      </c>
      <c r="I49" s="2">
        <v>39041</v>
      </c>
      <c r="P49" s="1"/>
      <c r="Q49" s="1"/>
    </row>
    <row r="50" spans="1:17" x14ac:dyDescent="0.25">
      <c r="A50" s="4">
        <v>43531</v>
      </c>
      <c r="B50" t="s">
        <v>43</v>
      </c>
      <c r="C50" t="s">
        <v>18</v>
      </c>
      <c r="D50">
        <v>2</v>
      </c>
      <c r="E50">
        <v>1</v>
      </c>
      <c r="F50">
        <v>1.7</v>
      </c>
      <c r="G50">
        <v>1</v>
      </c>
      <c r="H50">
        <v>48</v>
      </c>
      <c r="I50" s="2">
        <v>36274</v>
      </c>
      <c r="P50" s="1"/>
    </row>
    <row r="51" spans="1:17" x14ac:dyDescent="0.25">
      <c r="A51" s="4">
        <v>43534</v>
      </c>
      <c r="B51" t="s">
        <v>44</v>
      </c>
      <c r="C51" t="s">
        <v>18</v>
      </c>
      <c r="D51">
        <v>3</v>
      </c>
      <c r="E51">
        <v>2</v>
      </c>
      <c r="F51">
        <v>1.2</v>
      </c>
      <c r="G51">
        <v>2.2999999999999998</v>
      </c>
      <c r="H51">
        <v>41</v>
      </c>
      <c r="I51" s="2">
        <v>11502</v>
      </c>
      <c r="P51" s="1"/>
      <c r="Q51" s="1"/>
    </row>
    <row r="52" spans="1:17" x14ac:dyDescent="0.25">
      <c r="A52" s="4">
        <v>43538</v>
      </c>
      <c r="B52" t="s">
        <v>44</v>
      </c>
      <c r="C52" t="s">
        <v>4</v>
      </c>
      <c r="D52">
        <v>1</v>
      </c>
      <c r="E52">
        <v>1</v>
      </c>
      <c r="F52">
        <v>1.7</v>
      </c>
      <c r="G52">
        <v>0.6</v>
      </c>
      <c r="H52">
        <v>41</v>
      </c>
      <c r="I52" s="2">
        <v>35074</v>
      </c>
      <c r="P52" s="1"/>
    </row>
    <row r="53" spans="1:17" x14ac:dyDescent="0.25">
      <c r="A53" s="4">
        <v>43541</v>
      </c>
      <c r="B53" t="s">
        <v>43</v>
      </c>
      <c r="C53" t="s">
        <v>4</v>
      </c>
      <c r="D53">
        <v>0</v>
      </c>
      <c r="E53">
        <v>0</v>
      </c>
      <c r="F53">
        <v>0.6</v>
      </c>
      <c r="G53">
        <v>0.5</v>
      </c>
      <c r="H53">
        <v>62</v>
      </c>
      <c r="I53" s="2">
        <v>41778</v>
      </c>
      <c r="P53" s="1"/>
      <c r="Q53" s="1"/>
    </row>
    <row r="54" spans="1:17" x14ac:dyDescent="0.25">
      <c r="A54" s="4">
        <v>43555</v>
      </c>
      <c r="B54" t="s">
        <v>44</v>
      </c>
      <c r="C54" t="s">
        <v>18</v>
      </c>
      <c r="D54">
        <v>1</v>
      </c>
      <c r="E54">
        <v>0</v>
      </c>
      <c r="F54">
        <v>1</v>
      </c>
      <c r="G54">
        <v>0.9</v>
      </c>
      <c r="H54">
        <v>40</v>
      </c>
      <c r="I54" s="2">
        <v>38450</v>
      </c>
      <c r="P54" s="1"/>
      <c r="Q54" s="1"/>
    </row>
    <row r="55" spans="1:17" x14ac:dyDescent="0.25">
      <c r="A55" s="4">
        <v>43558</v>
      </c>
      <c r="B55" t="s">
        <v>43</v>
      </c>
      <c r="C55" t="s">
        <v>18</v>
      </c>
      <c r="D55">
        <v>2</v>
      </c>
      <c r="E55">
        <v>1</v>
      </c>
      <c r="F55">
        <v>1.8</v>
      </c>
      <c r="G55">
        <v>0.8</v>
      </c>
      <c r="H55">
        <v>33</v>
      </c>
      <c r="I55" s="2">
        <v>44274</v>
      </c>
      <c r="P55" s="1"/>
      <c r="Q55" s="1"/>
    </row>
    <row r="56" spans="1:17" x14ac:dyDescent="0.25">
      <c r="A56" s="4">
        <v>43561</v>
      </c>
      <c r="B56" t="s">
        <v>44</v>
      </c>
      <c r="C56" t="s">
        <v>19</v>
      </c>
      <c r="D56">
        <v>0</v>
      </c>
      <c r="E56">
        <v>2</v>
      </c>
      <c r="F56">
        <v>2.2999999999999998</v>
      </c>
      <c r="G56">
        <v>1.5</v>
      </c>
      <c r="H56">
        <v>48</v>
      </c>
      <c r="I56" s="2">
        <v>11320</v>
      </c>
      <c r="P56" s="1"/>
      <c r="Q56" s="1"/>
    </row>
    <row r="57" spans="1:17" x14ac:dyDescent="0.25">
      <c r="A57" s="4">
        <v>43566</v>
      </c>
      <c r="B57" t="s">
        <v>44</v>
      </c>
      <c r="C57" t="s">
        <v>18</v>
      </c>
      <c r="D57">
        <v>3</v>
      </c>
      <c r="E57">
        <v>1</v>
      </c>
      <c r="F57">
        <v>1.8</v>
      </c>
      <c r="G57">
        <v>1.8</v>
      </c>
      <c r="H57">
        <v>42</v>
      </c>
      <c r="I57" s="2">
        <v>17605</v>
      </c>
      <c r="P57" s="1"/>
    </row>
    <row r="58" spans="1:17" x14ac:dyDescent="0.25">
      <c r="A58" s="4">
        <v>43569</v>
      </c>
      <c r="B58" t="s">
        <v>43</v>
      </c>
      <c r="C58" t="s">
        <v>18</v>
      </c>
      <c r="D58">
        <v>3</v>
      </c>
      <c r="E58">
        <v>1</v>
      </c>
      <c r="F58">
        <v>2.4</v>
      </c>
      <c r="G58">
        <v>0.3</v>
      </c>
      <c r="H58">
        <v>53</v>
      </c>
      <c r="I58" s="2">
        <v>42120</v>
      </c>
      <c r="P58" s="1"/>
    </row>
    <row r="59" spans="1:17" x14ac:dyDescent="0.25">
      <c r="A59" s="4">
        <v>43573</v>
      </c>
      <c r="B59" t="s">
        <v>43</v>
      </c>
      <c r="C59" t="s">
        <v>18</v>
      </c>
      <c r="D59">
        <v>2</v>
      </c>
      <c r="E59">
        <v>0</v>
      </c>
      <c r="F59">
        <v>1.1000000000000001</v>
      </c>
      <c r="G59">
        <v>1.3</v>
      </c>
      <c r="H59">
        <v>39</v>
      </c>
      <c r="I59" s="2">
        <v>26403</v>
      </c>
      <c r="P59" s="1"/>
    </row>
    <row r="60" spans="1:17" x14ac:dyDescent="0.25">
      <c r="A60" s="4">
        <v>43576</v>
      </c>
      <c r="B60" t="s">
        <v>44</v>
      </c>
      <c r="C60" t="s">
        <v>18</v>
      </c>
      <c r="D60">
        <v>2</v>
      </c>
      <c r="E60">
        <v>1</v>
      </c>
      <c r="F60">
        <v>0.2</v>
      </c>
      <c r="G60">
        <v>2.1</v>
      </c>
      <c r="H60">
        <v>34</v>
      </c>
      <c r="I60" s="2">
        <v>42508</v>
      </c>
      <c r="P60" s="1"/>
    </row>
    <row r="61" spans="1:17" x14ac:dyDescent="0.25">
      <c r="A61" s="4">
        <v>43579</v>
      </c>
      <c r="B61" t="s">
        <v>44</v>
      </c>
      <c r="C61" t="s">
        <v>19</v>
      </c>
      <c r="D61">
        <v>2</v>
      </c>
      <c r="E61">
        <v>3</v>
      </c>
      <c r="F61">
        <v>2.1</v>
      </c>
      <c r="G61">
        <v>1.6</v>
      </c>
      <c r="H61">
        <v>44</v>
      </c>
      <c r="I61" s="2">
        <v>43531</v>
      </c>
      <c r="P61" s="1"/>
    </row>
    <row r="62" spans="1:17" x14ac:dyDescent="0.25">
      <c r="A62" s="4">
        <v>43583</v>
      </c>
      <c r="B62" t="s">
        <v>43</v>
      </c>
      <c r="C62" t="s">
        <v>19</v>
      </c>
      <c r="D62">
        <v>0</v>
      </c>
      <c r="E62">
        <v>1</v>
      </c>
      <c r="F62">
        <v>0.5</v>
      </c>
      <c r="G62">
        <v>1.3</v>
      </c>
      <c r="H62">
        <v>49</v>
      </c>
      <c r="I62" s="2">
        <v>35393</v>
      </c>
      <c r="P62" s="1"/>
      <c r="Q62" s="1"/>
    </row>
    <row r="63" spans="1:17" x14ac:dyDescent="0.25">
      <c r="A63" s="4">
        <v>43587</v>
      </c>
      <c r="B63" t="s">
        <v>44</v>
      </c>
      <c r="C63" t="s">
        <v>19</v>
      </c>
      <c r="D63">
        <v>1</v>
      </c>
      <c r="E63">
        <v>3</v>
      </c>
      <c r="F63">
        <v>2.6</v>
      </c>
      <c r="G63">
        <v>2.2999999999999998</v>
      </c>
      <c r="H63">
        <v>43</v>
      </c>
      <c r="I63" s="2">
        <v>58969</v>
      </c>
      <c r="P63" s="1"/>
    </row>
    <row r="64" spans="1:17" x14ac:dyDescent="0.25">
      <c r="A64" s="4">
        <v>43590</v>
      </c>
      <c r="B64" t="s">
        <v>44</v>
      </c>
      <c r="C64" t="s">
        <v>18</v>
      </c>
      <c r="D64">
        <v>6</v>
      </c>
      <c r="E64">
        <v>2</v>
      </c>
      <c r="F64">
        <v>2.4</v>
      </c>
      <c r="G64">
        <v>3.1</v>
      </c>
      <c r="H64">
        <v>48</v>
      </c>
      <c r="I64" s="2">
        <v>6378</v>
      </c>
      <c r="P64" s="1"/>
    </row>
    <row r="65" spans="1:17" x14ac:dyDescent="0.25">
      <c r="A65" s="4">
        <v>43594</v>
      </c>
      <c r="B65" t="s">
        <v>43</v>
      </c>
      <c r="C65" t="s">
        <v>19</v>
      </c>
      <c r="D65">
        <v>2</v>
      </c>
      <c r="E65">
        <v>4</v>
      </c>
      <c r="F65">
        <v>2.5</v>
      </c>
      <c r="G65">
        <v>0.7</v>
      </c>
      <c r="H65">
        <v>56</v>
      </c>
      <c r="I65" s="2">
        <v>44481</v>
      </c>
      <c r="P65" s="1"/>
      <c r="Q65" s="1"/>
    </row>
    <row r="66" spans="1:17" x14ac:dyDescent="0.25">
      <c r="A66" s="4">
        <v>43597</v>
      </c>
      <c r="B66" t="s">
        <v>43</v>
      </c>
      <c r="C66" t="s">
        <v>18</v>
      </c>
      <c r="D66">
        <v>3</v>
      </c>
      <c r="E66">
        <v>1</v>
      </c>
      <c r="F66">
        <v>1.9</v>
      </c>
      <c r="G66">
        <v>0.8</v>
      </c>
      <c r="H66">
        <v>43</v>
      </c>
      <c r="I66" s="2">
        <v>37744</v>
      </c>
      <c r="P66" s="1"/>
    </row>
    <row r="67" spans="1:17" x14ac:dyDescent="0.25">
      <c r="A67" s="4">
        <v>43603</v>
      </c>
      <c r="B67" t="s">
        <v>44</v>
      </c>
      <c r="C67" t="s">
        <v>18</v>
      </c>
      <c r="D67">
        <v>2</v>
      </c>
      <c r="E67">
        <v>0</v>
      </c>
      <c r="F67">
        <v>1.5</v>
      </c>
      <c r="G67">
        <v>0.8</v>
      </c>
      <c r="H67">
        <v>51</v>
      </c>
      <c r="I67" s="2">
        <v>23455</v>
      </c>
      <c r="P67" s="1"/>
      <c r="Q67" s="1"/>
    </row>
    <row r="68" spans="1:17" x14ac:dyDescent="0.25">
      <c r="A68" s="4">
        <v>43610</v>
      </c>
      <c r="B68" t="s">
        <v>186</v>
      </c>
      <c r="C68" t="s">
        <v>18</v>
      </c>
      <c r="D68">
        <v>2</v>
      </c>
      <c r="E68">
        <v>1</v>
      </c>
      <c r="H68">
        <v>23</v>
      </c>
      <c r="I68" s="2">
        <v>53698</v>
      </c>
      <c r="P68" s="1"/>
    </row>
    <row r="69" spans="1:17" x14ac:dyDescent="0.25">
      <c r="A69" s="4">
        <v>43694</v>
      </c>
      <c r="B69" t="s">
        <v>43</v>
      </c>
      <c r="C69" t="s">
        <v>4</v>
      </c>
      <c r="D69">
        <v>1</v>
      </c>
      <c r="E69">
        <v>1</v>
      </c>
      <c r="F69">
        <v>2.2999999999999998</v>
      </c>
      <c r="G69">
        <v>1.8</v>
      </c>
      <c r="H69">
        <v>37</v>
      </c>
      <c r="I69" s="2">
        <v>41846</v>
      </c>
      <c r="P69" s="1"/>
    </row>
    <row r="70" spans="1:17" x14ac:dyDescent="0.25">
      <c r="A70" s="4">
        <v>43701</v>
      </c>
      <c r="B70" t="s">
        <v>44</v>
      </c>
      <c r="C70" t="s">
        <v>19</v>
      </c>
      <c r="D70">
        <v>0</v>
      </c>
      <c r="E70">
        <v>1</v>
      </c>
      <c r="F70">
        <v>1</v>
      </c>
      <c r="G70">
        <v>1.9</v>
      </c>
      <c r="H70">
        <v>46</v>
      </c>
      <c r="I70" s="2">
        <v>20034</v>
      </c>
    </row>
    <row r="71" spans="1:17" s="38" customFormat="1" x14ac:dyDescent="0.25">
      <c r="A71" s="37">
        <v>43709</v>
      </c>
      <c r="B71" s="38" t="s">
        <v>43</v>
      </c>
      <c r="C71" s="38" t="s">
        <v>18</v>
      </c>
      <c r="D71" s="38">
        <v>2</v>
      </c>
      <c r="E71" s="38">
        <v>0</v>
      </c>
      <c r="F71" s="38">
        <v>2.2999999999999998</v>
      </c>
      <c r="G71" s="38">
        <v>1.2</v>
      </c>
      <c r="H71" s="38">
        <v>50</v>
      </c>
      <c r="I71" s="39">
        <v>40441</v>
      </c>
    </row>
    <row r="72" spans="1:17" x14ac:dyDescent="0.25">
      <c r="A72" s="4">
        <v>43722</v>
      </c>
      <c r="B72" t="s">
        <v>44</v>
      </c>
      <c r="C72" t="s">
        <v>19</v>
      </c>
      <c r="D72">
        <v>2</v>
      </c>
      <c r="E72">
        <v>5</v>
      </c>
      <c r="F72">
        <v>1.5</v>
      </c>
      <c r="G72">
        <v>2.4</v>
      </c>
      <c r="H72">
        <v>36</v>
      </c>
      <c r="I72" s="2">
        <v>81617</v>
      </c>
    </row>
    <row r="73" spans="1:17" x14ac:dyDescent="0.25">
      <c r="A73" s="4">
        <v>43725</v>
      </c>
      <c r="B73" t="s">
        <v>44</v>
      </c>
      <c r="C73" t="s">
        <v>18</v>
      </c>
      <c r="D73">
        <v>1</v>
      </c>
      <c r="E73">
        <v>0</v>
      </c>
      <c r="F73">
        <v>1</v>
      </c>
      <c r="G73">
        <v>2.8</v>
      </c>
      <c r="H73">
        <v>41</v>
      </c>
      <c r="I73" s="2">
        <v>39469</v>
      </c>
    </row>
    <row r="74" spans="1:17" x14ac:dyDescent="0.25">
      <c r="A74" s="4">
        <v>43730</v>
      </c>
      <c r="B74" t="s">
        <v>43</v>
      </c>
      <c r="C74" t="s">
        <v>4</v>
      </c>
      <c r="D74">
        <v>1</v>
      </c>
      <c r="E74">
        <v>1</v>
      </c>
      <c r="F74">
        <v>1.5</v>
      </c>
      <c r="G74">
        <v>1.2</v>
      </c>
      <c r="H74">
        <v>62</v>
      </c>
      <c r="I74" s="2">
        <v>39014</v>
      </c>
    </row>
    <row r="75" spans="1:17" x14ac:dyDescent="0.25">
      <c r="A75" s="4">
        <v>43733</v>
      </c>
      <c r="B75" t="s">
        <v>43</v>
      </c>
      <c r="C75" t="s">
        <v>4</v>
      </c>
      <c r="D75">
        <v>3</v>
      </c>
      <c r="E75">
        <v>3</v>
      </c>
      <c r="F75">
        <v>1.2</v>
      </c>
      <c r="G75">
        <v>2</v>
      </c>
      <c r="H75">
        <v>62</v>
      </c>
      <c r="I75" s="2">
        <v>37814</v>
      </c>
    </row>
    <row r="76" spans="1:17" s="28" customFormat="1" x14ac:dyDescent="0.25">
      <c r="A76" s="27">
        <v>43736</v>
      </c>
      <c r="B76" s="28" t="s">
        <v>44</v>
      </c>
      <c r="C76" s="28" t="s">
        <v>18</v>
      </c>
      <c r="D76" s="28">
        <v>1</v>
      </c>
      <c r="E76" s="28">
        <v>0</v>
      </c>
      <c r="F76" s="28">
        <v>1.8</v>
      </c>
      <c r="G76" s="28">
        <v>1.4</v>
      </c>
      <c r="H76" s="28">
        <v>49</v>
      </c>
      <c r="I76" s="29">
        <v>42420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04FB-EB64-48F3-8D04-5F59D3B676C6}">
  <dimension ref="A1:Q58"/>
  <sheetViews>
    <sheetView topLeftCell="A30" workbookViewId="0">
      <selection activeCell="O54" sqref="O54"/>
    </sheetView>
  </sheetViews>
  <sheetFormatPr defaultRowHeight="15" x14ac:dyDescent="0.25"/>
  <cols>
    <col min="1" max="1" width="11" style="4" customWidth="1"/>
  </cols>
  <sheetData>
    <row r="1" spans="1:17" x14ac:dyDescent="0.25">
      <c r="A1" s="4" t="s">
        <v>144</v>
      </c>
    </row>
    <row r="2" spans="1:17" x14ac:dyDescent="0.25">
      <c r="A2" s="4" t="s">
        <v>145</v>
      </c>
    </row>
    <row r="3" spans="1:17" x14ac:dyDescent="0.25">
      <c r="A3" s="4" t="s">
        <v>146</v>
      </c>
    </row>
    <row r="4" spans="1:17" x14ac:dyDescent="0.25">
      <c r="A4" s="4" t="s">
        <v>147</v>
      </c>
    </row>
    <row r="6" spans="1:17" x14ac:dyDescent="0.25">
      <c r="B6" t="s">
        <v>570</v>
      </c>
    </row>
    <row r="7" spans="1:17" s="6" customFormat="1" x14ac:dyDescent="0.25">
      <c r="A7" s="5" t="s">
        <v>0</v>
      </c>
      <c r="B7" s="6" t="s">
        <v>53</v>
      </c>
      <c r="C7" s="6" t="s">
        <v>54</v>
      </c>
      <c r="D7" s="6" t="s">
        <v>20</v>
      </c>
      <c r="E7" s="6" t="s">
        <v>21</v>
      </c>
      <c r="F7" s="6" t="s">
        <v>55</v>
      </c>
      <c r="G7" s="6" t="s">
        <v>56</v>
      </c>
      <c r="H7" s="6" t="s">
        <v>57</v>
      </c>
      <c r="I7" s="6" t="s">
        <v>24</v>
      </c>
    </row>
    <row r="8" spans="1:17" s="6" customFormat="1" x14ac:dyDescent="0.25">
      <c r="A8" s="5">
        <v>43709</v>
      </c>
      <c r="B8" s="6" t="s">
        <v>43</v>
      </c>
      <c r="C8" s="6" t="s">
        <v>18</v>
      </c>
      <c r="D8" s="6">
        <v>2</v>
      </c>
      <c r="E8" s="6">
        <v>0</v>
      </c>
      <c r="F8" s="6">
        <v>2.2999999999999998</v>
      </c>
      <c r="G8" s="6">
        <v>1.2</v>
      </c>
      <c r="H8" s="6">
        <v>50</v>
      </c>
      <c r="I8" s="7">
        <v>40441</v>
      </c>
      <c r="P8" s="8"/>
      <c r="Q8" s="8"/>
    </row>
    <row r="9" spans="1:17" s="6" customFormat="1" x14ac:dyDescent="0.25">
      <c r="A9" s="5">
        <v>43722</v>
      </c>
      <c r="B9" s="6" t="s">
        <v>44</v>
      </c>
      <c r="C9" s="6" t="s">
        <v>19</v>
      </c>
      <c r="D9" s="6">
        <v>2</v>
      </c>
      <c r="E9" s="6">
        <v>5</v>
      </c>
      <c r="F9" s="6">
        <v>1.5</v>
      </c>
      <c r="G9" s="6">
        <v>2.4</v>
      </c>
      <c r="H9" s="6">
        <v>36</v>
      </c>
      <c r="I9" s="7">
        <v>81617</v>
      </c>
      <c r="P9" s="8"/>
      <c r="Q9" s="8"/>
    </row>
    <row r="10" spans="1:17" s="6" customFormat="1" x14ac:dyDescent="0.25">
      <c r="A10" s="5">
        <v>43725</v>
      </c>
      <c r="B10" s="6" t="s">
        <v>44</v>
      </c>
      <c r="C10" s="6" t="s">
        <v>18</v>
      </c>
      <c r="D10" s="6">
        <v>1</v>
      </c>
      <c r="E10" s="6">
        <v>0</v>
      </c>
      <c r="F10" s="6">
        <v>1</v>
      </c>
      <c r="G10" s="6">
        <v>2.8</v>
      </c>
      <c r="H10" s="6">
        <v>41</v>
      </c>
      <c r="I10" s="7">
        <v>39469</v>
      </c>
      <c r="P10" s="8"/>
    </row>
    <row r="11" spans="1:17" s="6" customFormat="1" x14ac:dyDescent="0.25">
      <c r="A11" s="5">
        <v>43730</v>
      </c>
      <c r="B11" s="6" t="s">
        <v>43</v>
      </c>
      <c r="C11" s="6" t="s">
        <v>4</v>
      </c>
      <c r="D11" s="6">
        <v>1</v>
      </c>
      <c r="E11" s="6">
        <v>1</v>
      </c>
      <c r="F11" s="6">
        <v>1.5</v>
      </c>
      <c r="G11" s="6">
        <v>1.2</v>
      </c>
      <c r="H11" s="6">
        <v>62</v>
      </c>
      <c r="I11" s="7">
        <v>39014</v>
      </c>
      <c r="P11" s="8"/>
      <c r="Q11" s="8"/>
    </row>
    <row r="12" spans="1:17" s="6" customFormat="1" x14ac:dyDescent="0.25">
      <c r="A12" s="5">
        <v>43733</v>
      </c>
      <c r="B12" s="6" t="s">
        <v>43</v>
      </c>
      <c r="C12" s="6" t="s">
        <v>4</v>
      </c>
      <c r="D12" s="6">
        <v>3</v>
      </c>
      <c r="E12" s="6">
        <v>3</v>
      </c>
      <c r="F12" s="6">
        <v>1.2</v>
      </c>
      <c r="G12" s="6">
        <v>2</v>
      </c>
      <c r="H12" s="6">
        <v>62</v>
      </c>
      <c r="I12" s="7">
        <v>37814</v>
      </c>
      <c r="P12" s="8"/>
      <c r="Q12" s="8"/>
    </row>
    <row r="13" spans="1:17" s="28" customFormat="1" x14ac:dyDescent="0.25">
      <c r="A13" s="40">
        <v>43736</v>
      </c>
      <c r="B13" s="41" t="s">
        <v>44</v>
      </c>
      <c r="C13" s="41" t="s">
        <v>18</v>
      </c>
      <c r="D13" s="41">
        <v>1</v>
      </c>
      <c r="E13" s="41">
        <v>0</v>
      </c>
      <c r="F13" s="41">
        <v>1.8</v>
      </c>
      <c r="G13" s="41">
        <v>1.4</v>
      </c>
      <c r="H13" s="41">
        <v>49</v>
      </c>
      <c r="I13" s="42">
        <v>42420</v>
      </c>
      <c r="P13" s="30"/>
    </row>
    <row r="14" spans="1:17" s="15" customFormat="1" x14ac:dyDescent="0.25">
      <c r="A14" s="14">
        <v>43740</v>
      </c>
      <c r="B14" s="15" t="s">
        <v>43</v>
      </c>
      <c r="C14" s="15" t="s">
        <v>19</v>
      </c>
      <c r="D14" s="15">
        <v>0</v>
      </c>
      <c r="E14" s="15">
        <v>3</v>
      </c>
      <c r="F14" s="15">
        <v>2</v>
      </c>
      <c r="G14" s="15">
        <v>1.7</v>
      </c>
      <c r="H14" s="15">
        <v>54</v>
      </c>
      <c r="I14" s="16">
        <v>44659</v>
      </c>
      <c r="P14" s="17"/>
      <c r="Q14" s="17"/>
    </row>
    <row r="15" spans="1:17" s="9" customFormat="1" x14ac:dyDescent="0.25">
      <c r="A15" s="4">
        <v>43743</v>
      </c>
      <c r="B15" t="s">
        <v>43</v>
      </c>
      <c r="C15" t="s">
        <v>18</v>
      </c>
      <c r="D15">
        <v>2</v>
      </c>
      <c r="E15">
        <v>1</v>
      </c>
      <c r="F15">
        <v>1.3</v>
      </c>
      <c r="G15">
        <v>1.7</v>
      </c>
      <c r="H15">
        <v>56</v>
      </c>
      <c r="I15" s="2">
        <v>38943</v>
      </c>
      <c r="P15" s="10"/>
    </row>
    <row r="16" spans="1:17" x14ac:dyDescent="0.25">
      <c r="A16" s="4">
        <v>43757</v>
      </c>
      <c r="B16" t="s">
        <v>44</v>
      </c>
      <c r="C16" t="s">
        <v>4</v>
      </c>
      <c r="D16">
        <v>1</v>
      </c>
      <c r="E16">
        <v>1</v>
      </c>
      <c r="F16">
        <v>0.7</v>
      </c>
      <c r="G16">
        <v>1.6</v>
      </c>
      <c r="H16">
        <v>56</v>
      </c>
      <c r="I16" s="2">
        <v>61603</v>
      </c>
      <c r="P16" s="1"/>
    </row>
    <row r="17" spans="1:17" x14ac:dyDescent="0.25">
      <c r="A17" s="4">
        <v>43761</v>
      </c>
      <c r="B17" t="s">
        <v>44</v>
      </c>
      <c r="C17" t="s">
        <v>4</v>
      </c>
      <c r="D17">
        <v>1</v>
      </c>
      <c r="E17">
        <v>1</v>
      </c>
      <c r="F17">
        <v>0.6</v>
      </c>
      <c r="G17">
        <v>1.9</v>
      </c>
      <c r="H17">
        <v>45</v>
      </c>
      <c r="I17" s="2">
        <v>47488</v>
      </c>
      <c r="P17" s="1"/>
      <c r="Q17" s="1"/>
    </row>
    <row r="18" spans="1:17" x14ac:dyDescent="0.25">
      <c r="A18" s="4">
        <v>43765</v>
      </c>
      <c r="B18" t="s">
        <v>44</v>
      </c>
      <c r="C18" t="s">
        <v>19</v>
      </c>
      <c r="D18">
        <v>1</v>
      </c>
      <c r="E18">
        <v>3</v>
      </c>
      <c r="F18">
        <v>0.9</v>
      </c>
      <c r="G18">
        <v>2.8</v>
      </c>
      <c r="H18">
        <v>35</v>
      </c>
      <c r="I18" s="2">
        <v>14976</v>
      </c>
      <c r="Q18" s="1"/>
    </row>
    <row r="19" spans="1:17" x14ac:dyDescent="0.25">
      <c r="A19" s="4">
        <v>43768</v>
      </c>
      <c r="B19" t="s">
        <v>43</v>
      </c>
      <c r="C19" t="s">
        <v>4</v>
      </c>
      <c r="D19">
        <v>1</v>
      </c>
      <c r="E19">
        <v>1</v>
      </c>
      <c r="F19">
        <v>0.8</v>
      </c>
      <c r="G19">
        <v>0.6</v>
      </c>
      <c r="H19">
        <v>46</v>
      </c>
      <c r="I19" s="2">
        <v>37881</v>
      </c>
      <c r="P19" s="1"/>
      <c r="Q19" s="1"/>
    </row>
    <row r="20" spans="1:17" x14ac:dyDescent="0.25">
      <c r="A20" s="4">
        <v>43771</v>
      </c>
      <c r="B20" t="s">
        <v>44</v>
      </c>
      <c r="C20" t="s">
        <v>18</v>
      </c>
      <c r="D20">
        <v>2</v>
      </c>
      <c r="E20">
        <v>1</v>
      </c>
      <c r="F20">
        <v>1.9</v>
      </c>
      <c r="G20">
        <v>1.3</v>
      </c>
      <c r="H20">
        <v>54</v>
      </c>
      <c r="I20" s="2">
        <v>18428</v>
      </c>
      <c r="P20" s="1"/>
    </row>
    <row r="21" spans="1:17" x14ac:dyDescent="0.25">
      <c r="A21" s="4">
        <v>43774</v>
      </c>
      <c r="B21" t="s">
        <v>43</v>
      </c>
      <c r="C21" t="s">
        <v>18</v>
      </c>
      <c r="D21">
        <v>4</v>
      </c>
      <c r="E21">
        <v>1</v>
      </c>
      <c r="F21">
        <v>2.2999999999999998</v>
      </c>
      <c r="G21">
        <v>1.5</v>
      </c>
      <c r="H21">
        <v>55</v>
      </c>
      <c r="I21" s="2">
        <v>38252</v>
      </c>
      <c r="P21" s="1"/>
      <c r="Q21" s="1"/>
    </row>
    <row r="22" spans="1:17" x14ac:dyDescent="0.25">
      <c r="A22" s="4">
        <v>43778</v>
      </c>
      <c r="B22" t="s">
        <v>43</v>
      </c>
      <c r="C22" t="s">
        <v>18</v>
      </c>
      <c r="D22">
        <v>2</v>
      </c>
      <c r="E22">
        <v>0</v>
      </c>
      <c r="F22">
        <v>0.7</v>
      </c>
      <c r="G22">
        <v>0.5</v>
      </c>
      <c r="H22">
        <v>49</v>
      </c>
      <c r="I22" s="2">
        <v>39882</v>
      </c>
      <c r="P22" s="1"/>
      <c r="Q22" s="1"/>
    </row>
    <row r="23" spans="1:17" x14ac:dyDescent="0.25">
      <c r="A23" s="4">
        <v>43792</v>
      </c>
      <c r="B23" t="s">
        <v>44</v>
      </c>
      <c r="C23" t="s">
        <v>19</v>
      </c>
      <c r="D23">
        <v>1</v>
      </c>
      <c r="E23">
        <v>2</v>
      </c>
      <c r="F23">
        <v>1</v>
      </c>
      <c r="G23">
        <v>1.7</v>
      </c>
      <c r="H23">
        <v>40</v>
      </c>
      <c r="I23" s="2">
        <v>46545</v>
      </c>
      <c r="P23" s="1"/>
      <c r="Q23" s="1"/>
    </row>
    <row r="24" spans="1:17" x14ac:dyDescent="0.25">
      <c r="A24" s="4">
        <v>43796</v>
      </c>
      <c r="B24" t="s">
        <v>43</v>
      </c>
      <c r="C24" t="s">
        <v>4</v>
      </c>
      <c r="D24">
        <v>2</v>
      </c>
      <c r="E24">
        <v>2</v>
      </c>
      <c r="F24">
        <v>3.1</v>
      </c>
      <c r="G24">
        <v>2.1</v>
      </c>
      <c r="H24">
        <v>50</v>
      </c>
      <c r="I24" s="2">
        <v>43486</v>
      </c>
      <c r="P24" s="1"/>
    </row>
    <row r="25" spans="1:17" x14ac:dyDescent="0.25">
      <c r="A25" s="4">
        <v>43799</v>
      </c>
      <c r="B25" t="s">
        <v>43</v>
      </c>
      <c r="C25" t="s">
        <v>18</v>
      </c>
      <c r="D25">
        <v>2</v>
      </c>
      <c r="E25">
        <v>1</v>
      </c>
      <c r="F25">
        <v>1.5</v>
      </c>
      <c r="G25">
        <v>2.1</v>
      </c>
      <c r="H25">
        <v>42</v>
      </c>
      <c r="I25" s="2">
        <v>38521</v>
      </c>
      <c r="P25" s="1"/>
    </row>
    <row r="26" spans="1:17" x14ac:dyDescent="0.25">
      <c r="A26" s="4">
        <v>43806</v>
      </c>
      <c r="B26" t="s">
        <v>44</v>
      </c>
      <c r="C26" t="s">
        <v>18</v>
      </c>
      <c r="D26">
        <v>4</v>
      </c>
      <c r="E26">
        <v>2</v>
      </c>
      <c r="F26">
        <v>3</v>
      </c>
      <c r="G26">
        <v>2.1</v>
      </c>
      <c r="H26">
        <v>50</v>
      </c>
      <c r="I26" s="2">
        <v>23137</v>
      </c>
      <c r="P26" s="1"/>
      <c r="Q26" s="1"/>
    </row>
    <row r="27" spans="1:17" x14ac:dyDescent="0.25">
      <c r="A27" s="4">
        <v>43809</v>
      </c>
      <c r="B27" t="s">
        <v>44</v>
      </c>
      <c r="C27" t="s">
        <v>18</v>
      </c>
      <c r="D27">
        <v>1</v>
      </c>
      <c r="E27">
        <v>0</v>
      </c>
      <c r="F27">
        <v>1.1000000000000001</v>
      </c>
      <c r="G27">
        <v>1.2</v>
      </c>
      <c r="H27">
        <v>35</v>
      </c>
      <c r="I27" s="2">
        <v>51931</v>
      </c>
      <c r="P27" s="1"/>
    </row>
    <row r="28" spans="1:17" x14ac:dyDescent="0.25">
      <c r="A28" s="4">
        <v>43814</v>
      </c>
      <c r="B28" t="s">
        <v>43</v>
      </c>
      <c r="C28" t="s">
        <v>4</v>
      </c>
      <c r="D28">
        <v>1</v>
      </c>
      <c r="E28">
        <v>1</v>
      </c>
      <c r="F28">
        <v>2.2999999999999998</v>
      </c>
      <c r="G28">
        <v>1.7</v>
      </c>
      <c r="H28">
        <v>36</v>
      </c>
      <c r="I28" s="2">
        <v>44230</v>
      </c>
      <c r="Q28" s="1"/>
    </row>
    <row r="29" spans="1:17" x14ac:dyDescent="0.25">
      <c r="A29" s="4">
        <v>43820</v>
      </c>
      <c r="B29" t="s">
        <v>44</v>
      </c>
      <c r="C29" t="s">
        <v>4</v>
      </c>
      <c r="D29">
        <v>1</v>
      </c>
      <c r="E29">
        <v>1</v>
      </c>
      <c r="F29">
        <v>1.2</v>
      </c>
      <c r="G29">
        <v>0.8</v>
      </c>
      <c r="H29">
        <v>52</v>
      </c>
      <c r="I29" s="2">
        <v>16295</v>
      </c>
      <c r="P29" s="1"/>
    </row>
    <row r="30" spans="1:17" x14ac:dyDescent="0.25">
      <c r="A30" s="4">
        <v>43834</v>
      </c>
      <c r="B30" t="s">
        <v>43</v>
      </c>
      <c r="C30" t="s">
        <v>18</v>
      </c>
      <c r="D30">
        <v>1</v>
      </c>
      <c r="E30">
        <v>0</v>
      </c>
      <c r="F30">
        <v>1</v>
      </c>
      <c r="G30">
        <v>1</v>
      </c>
      <c r="H30">
        <v>51</v>
      </c>
      <c r="I30" s="2">
        <v>39702</v>
      </c>
      <c r="P30" s="1"/>
      <c r="Q30" s="1"/>
    </row>
    <row r="31" spans="1:17" x14ac:dyDescent="0.25">
      <c r="A31" s="4">
        <v>43838</v>
      </c>
      <c r="B31" t="s">
        <v>43</v>
      </c>
      <c r="C31" t="s">
        <v>19</v>
      </c>
      <c r="D31">
        <v>1</v>
      </c>
      <c r="E31">
        <v>3</v>
      </c>
      <c r="I31" s="2">
        <v>40877</v>
      </c>
      <c r="P31" s="1"/>
      <c r="Q31" s="1"/>
    </row>
    <row r="32" spans="1:17" x14ac:dyDescent="0.25">
      <c r="A32" s="4">
        <v>43849</v>
      </c>
      <c r="B32" t="s">
        <v>44</v>
      </c>
      <c r="C32" t="s">
        <v>19</v>
      </c>
      <c r="D32">
        <v>1</v>
      </c>
      <c r="E32">
        <v>4</v>
      </c>
      <c r="F32">
        <v>0.4</v>
      </c>
      <c r="G32">
        <v>1.9</v>
      </c>
      <c r="H32">
        <v>57</v>
      </c>
      <c r="I32" s="2">
        <v>9856</v>
      </c>
      <c r="P32" s="1"/>
      <c r="Q32" s="1"/>
    </row>
    <row r="33" spans="1:17" x14ac:dyDescent="0.25">
      <c r="A33" s="4">
        <v>43852</v>
      </c>
      <c r="B33" t="s">
        <v>44</v>
      </c>
      <c r="C33" t="s">
        <v>18</v>
      </c>
      <c r="D33">
        <v>1</v>
      </c>
      <c r="E33">
        <v>0</v>
      </c>
      <c r="H33">
        <v>61</v>
      </c>
      <c r="I33" s="2">
        <v>11152</v>
      </c>
    </row>
    <row r="34" spans="1:17" x14ac:dyDescent="0.25">
      <c r="A34" s="4">
        <v>43855</v>
      </c>
      <c r="B34" t="s">
        <v>43</v>
      </c>
      <c r="C34" t="s">
        <v>18</v>
      </c>
      <c r="D34">
        <v>2</v>
      </c>
      <c r="E34">
        <v>0</v>
      </c>
      <c r="F34">
        <v>1.2</v>
      </c>
      <c r="G34">
        <v>1.1000000000000001</v>
      </c>
      <c r="H34">
        <v>27</v>
      </c>
      <c r="I34" s="2">
        <v>45882</v>
      </c>
      <c r="P34" s="1"/>
      <c r="Q34" s="1"/>
    </row>
    <row r="35" spans="1:17" x14ac:dyDescent="0.25">
      <c r="A35" s="4">
        <v>43859</v>
      </c>
      <c r="B35" t="s">
        <v>44</v>
      </c>
      <c r="C35" t="s">
        <v>4</v>
      </c>
      <c r="D35" t="s">
        <v>169</v>
      </c>
      <c r="E35" t="s">
        <v>170</v>
      </c>
      <c r="H35">
        <v>67</v>
      </c>
      <c r="I35" s="2">
        <v>12500</v>
      </c>
    </row>
    <row r="36" spans="1:17" x14ac:dyDescent="0.25">
      <c r="A36" s="4">
        <v>43862</v>
      </c>
      <c r="B36" t="s">
        <v>43</v>
      </c>
      <c r="C36" t="s">
        <v>18</v>
      </c>
      <c r="D36">
        <v>1</v>
      </c>
      <c r="E36">
        <v>0</v>
      </c>
      <c r="F36">
        <v>1</v>
      </c>
      <c r="G36">
        <v>1.3</v>
      </c>
      <c r="H36">
        <v>50</v>
      </c>
      <c r="I36" s="2">
        <v>39637</v>
      </c>
      <c r="P36" s="1"/>
    </row>
    <row r="37" spans="1:17" x14ac:dyDescent="0.25">
      <c r="A37" s="4">
        <v>43865</v>
      </c>
      <c r="B37" t="s">
        <v>44</v>
      </c>
      <c r="C37" t="s">
        <v>19</v>
      </c>
      <c r="D37">
        <v>1</v>
      </c>
      <c r="E37">
        <v>2</v>
      </c>
      <c r="H37">
        <v>65</v>
      </c>
      <c r="I37" s="2">
        <v>16551</v>
      </c>
      <c r="P37" s="1"/>
    </row>
    <row r="38" spans="1:17" x14ac:dyDescent="0.25">
      <c r="A38" s="4">
        <v>43869</v>
      </c>
      <c r="B38" t="s">
        <v>44</v>
      </c>
      <c r="C38" t="s">
        <v>19</v>
      </c>
      <c r="D38">
        <v>0</v>
      </c>
      <c r="E38">
        <v>3</v>
      </c>
      <c r="F38">
        <v>0.3</v>
      </c>
      <c r="G38">
        <v>2.9</v>
      </c>
      <c r="H38">
        <v>47</v>
      </c>
      <c r="I38" s="2">
        <v>13070</v>
      </c>
    </row>
    <row r="39" spans="1:17" x14ac:dyDescent="0.25">
      <c r="A39" s="4">
        <v>43875</v>
      </c>
      <c r="B39" t="s">
        <v>43</v>
      </c>
      <c r="C39" t="s">
        <v>4</v>
      </c>
      <c r="D39">
        <v>2</v>
      </c>
      <c r="E39">
        <v>2</v>
      </c>
      <c r="F39">
        <v>1.3</v>
      </c>
      <c r="G39">
        <v>1.2</v>
      </c>
      <c r="H39">
        <v>63</v>
      </c>
      <c r="I39" s="2">
        <v>42297</v>
      </c>
      <c r="P39" s="1"/>
      <c r="Q39" s="1"/>
    </row>
    <row r="40" spans="1:17" x14ac:dyDescent="0.25">
      <c r="A40" s="4">
        <v>43880</v>
      </c>
      <c r="B40" t="s">
        <v>44</v>
      </c>
      <c r="C40" t="s">
        <v>19</v>
      </c>
      <c r="D40">
        <v>1</v>
      </c>
      <c r="E40">
        <v>4</v>
      </c>
      <c r="F40">
        <v>2.5</v>
      </c>
      <c r="G40">
        <v>1.8</v>
      </c>
      <c r="H40">
        <v>49</v>
      </c>
      <c r="I40" s="2">
        <v>44236</v>
      </c>
      <c r="P40" s="1"/>
      <c r="Q40" s="1"/>
    </row>
    <row r="41" spans="1:17" x14ac:dyDescent="0.25">
      <c r="A41" s="4">
        <v>43883</v>
      </c>
      <c r="B41" t="s">
        <v>44</v>
      </c>
      <c r="C41" t="s">
        <v>19</v>
      </c>
      <c r="D41">
        <v>0</v>
      </c>
      <c r="E41">
        <v>3</v>
      </c>
      <c r="F41">
        <v>0.3</v>
      </c>
      <c r="G41">
        <v>1.8</v>
      </c>
      <c r="H41">
        <v>54</v>
      </c>
      <c r="I41" s="2">
        <v>31381</v>
      </c>
      <c r="P41" s="1"/>
      <c r="Q41" s="1"/>
    </row>
    <row r="42" spans="1:17" x14ac:dyDescent="0.25">
      <c r="A42" s="4">
        <v>43890</v>
      </c>
      <c r="B42" t="s">
        <v>43</v>
      </c>
      <c r="C42" t="s">
        <v>18</v>
      </c>
      <c r="D42">
        <v>2</v>
      </c>
      <c r="E42">
        <v>1</v>
      </c>
      <c r="F42">
        <v>1</v>
      </c>
      <c r="G42">
        <v>1</v>
      </c>
      <c r="H42">
        <v>36</v>
      </c>
      <c r="I42" s="2">
        <v>37418</v>
      </c>
      <c r="P42" s="1"/>
      <c r="Q42" s="1"/>
    </row>
    <row r="43" spans="1:17" x14ac:dyDescent="0.25">
      <c r="A43" s="4">
        <v>43896</v>
      </c>
      <c r="B43" t="s">
        <v>44</v>
      </c>
      <c r="C43" t="s">
        <v>4</v>
      </c>
      <c r="D43">
        <v>1</v>
      </c>
      <c r="E43">
        <v>1</v>
      </c>
      <c r="F43">
        <v>0.7</v>
      </c>
      <c r="G43">
        <v>1</v>
      </c>
      <c r="H43">
        <v>56</v>
      </c>
      <c r="I43" s="2">
        <v>14083</v>
      </c>
      <c r="P43" s="1"/>
    </row>
    <row r="44" spans="1:17" x14ac:dyDescent="0.25">
      <c r="A44" s="4">
        <v>43900</v>
      </c>
      <c r="B44" t="s">
        <v>43</v>
      </c>
      <c r="C44" t="s">
        <v>19</v>
      </c>
      <c r="D44">
        <v>3</v>
      </c>
      <c r="E44">
        <v>4</v>
      </c>
      <c r="F44">
        <v>2.2000000000000002</v>
      </c>
      <c r="G44">
        <v>2.7</v>
      </c>
      <c r="H44">
        <v>59</v>
      </c>
      <c r="Q44" s="1"/>
    </row>
    <row r="45" spans="1:17" x14ac:dyDescent="0.25">
      <c r="A45" s="4">
        <v>43994</v>
      </c>
      <c r="B45" t="s">
        <v>43</v>
      </c>
      <c r="C45" t="s">
        <v>4</v>
      </c>
      <c r="D45">
        <v>1</v>
      </c>
      <c r="E45">
        <v>1</v>
      </c>
      <c r="F45">
        <v>1</v>
      </c>
      <c r="G45">
        <v>1.4</v>
      </c>
      <c r="H45">
        <v>51</v>
      </c>
      <c r="P45" s="1"/>
    </row>
    <row r="46" spans="1:17" x14ac:dyDescent="0.25">
      <c r="A46" s="4">
        <v>44000</v>
      </c>
      <c r="B46" t="s">
        <v>44</v>
      </c>
      <c r="C46" t="s">
        <v>19</v>
      </c>
      <c r="D46">
        <v>0</v>
      </c>
      <c r="E46">
        <v>3</v>
      </c>
      <c r="F46">
        <v>0.2</v>
      </c>
      <c r="G46">
        <v>1.9</v>
      </c>
      <c r="H46">
        <v>37</v>
      </c>
      <c r="Q46" s="1"/>
    </row>
    <row r="47" spans="1:17" x14ac:dyDescent="0.25">
      <c r="A47" s="4">
        <v>44003</v>
      </c>
      <c r="B47" t="s">
        <v>43</v>
      </c>
      <c r="C47" t="s">
        <v>18</v>
      </c>
      <c r="D47">
        <v>2</v>
      </c>
      <c r="E47">
        <v>0</v>
      </c>
      <c r="F47">
        <v>1.5</v>
      </c>
      <c r="G47">
        <v>1.5</v>
      </c>
      <c r="H47">
        <v>55</v>
      </c>
      <c r="P47" s="1"/>
    </row>
    <row r="48" spans="1:17" x14ac:dyDescent="0.25">
      <c r="A48" s="4">
        <v>44007</v>
      </c>
      <c r="B48" t="s">
        <v>44</v>
      </c>
      <c r="C48" t="s">
        <v>19</v>
      </c>
      <c r="D48">
        <v>0</v>
      </c>
      <c r="E48">
        <v>1</v>
      </c>
      <c r="F48">
        <v>0.4</v>
      </c>
      <c r="G48">
        <v>0.6</v>
      </c>
      <c r="H48">
        <v>66</v>
      </c>
      <c r="P48" s="1"/>
      <c r="Q48" s="1"/>
    </row>
    <row r="49" spans="1:17" x14ac:dyDescent="0.25">
      <c r="A49" s="18">
        <v>44010</v>
      </c>
      <c r="B49" s="19" t="s">
        <v>44</v>
      </c>
      <c r="C49" s="19" t="s">
        <v>19</v>
      </c>
      <c r="D49" s="19">
        <v>0</v>
      </c>
      <c r="E49" s="19">
        <v>2</v>
      </c>
      <c r="F49" s="19">
        <v>0.2</v>
      </c>
      <c r="G49" s="19">
        <v>2.1</v>
      </c>
      <c r="H49" s="19">
        <v>43</v>
      </c>
      <c r="I49" s="19"/>
      <c r="P49" s="1"/>
      <c r="Q49" s="1"/>
    </row>
    <row r="50" spans="1:17" s="20" customFormat="1" x14ac:dyDescent="0.25">
      <c r="A50" s="5">
        <v>44013</v>
      </c>
      <c r="B50" s="6" t="s">
        <v>43</v>
      </c>
      <c r="C50" s="6" t="s">
        <v>19</v>
      </c>
      <c r="D50" s="6">
        <v>0</v>
      </c>
      <c r="E50" s="6">
        <v>2</v>
      </c>
      <c r="F50" s="6">
        <v>1</v>
      </c>
      <c r="G50" s="6">
        <v>0.7</v>
      </c>
      <c r="H50" s="6">
        <v>51</v>
      </c>
      <c r="I50" s="6"/>
      <c r="P50" s="21"/>
      <c r="Q50" s="21"/>
    </row>
    <row r="51" spans="1:17" x14ac:dyDescent="0.25">
      <c r="A51" s="5">
        <v>44016</v>
      </c>
      <c r="B51" s="6" t="s">
        <v>44</v>
      </c>
      <c r="C51" s="6" t="s">
        <v>4</v>
      </c>
      <c r="D51" s="6">
        <v>2</v>
      </c>
      <c r="E51" s="6">
        <v>2</v>
      </c>
      <c r="F51" s="6">
        <v>0.7</v>
      </c>
      <c r="G51" s="6">
        <v>2.2999999999999998</v>
      </c>
      <c r="H51" s="6">
        <v>47</v>
      </c>
      <c r="I51" s="6"/>
      <c r="Q51" s="1"/>
    </row>
    <row r="52" spans="1:17" s="11" customFormat="1" x14ac:dyDescent="0.25">
      <c r="A52" s="5">
        <v>44019</v>
      </c>
      <c r="B52" s="6" t="s">
        <v>43</v>
      </c>
      <c r="C52" s="6" t="s">
        <v>18</v>
      </c>
      <c r="D52" s="6">
        <v>2</v>
      </c>
      <c r="E52" s="6">
        <v>1</v>
      </c>
      <c r="F52" s="6">
        <v>1.1000000000000001</v>
      </c>
      <c r="G52" s="6">
        <v>0.5</v>
      </c>
      <c r="H52" s="6">
        <v>59</v>
      </c>
      <c r="I52" s="6"/>
      <c r="P52" s="12"/>
      <c r="Q52" s="12"/>
    </row>
    <row r="53" spans="1:17" x14ac:dyDescent="0.25">
      <c r="A53" s="5">
        <v>44024</v>
      </c>
      <c r="B53" s="6" t="s">
        <v>44</v>
      </c>
      <c r="C53" s="6" t="s">
        <v>19</v>
      </c>
      <c r="D53" s="6">
        <v>0</v>
      </c>
      <c r="E53" s="6">
        <v>1</v>
      </c>
      <c r="F53" s="6">
        <v>1.5</v>
      </c>
      <c r="G53" s="6">
        <v>1.2</v>
      </c>
      <c r="H53" s="6">
        <v>68</v>
      </c>
      <c r="I53" s="6"/>
      <c r="J53" s="6"/>
      <c r="P53" s="1"/>
    </row>
    <row r="54" spans="1:17" x14ac:dyDescent="0.25">
      <c r="A54" s="5">
        <v>44028</v>
      </c>
      <c r="B54" s="6" t="s">
        <v>43</v>
      </c>
      <c r="C54" s="6" t="s">
        <v>18</v>
      </c>
      <c r="D54" s="6">
        <v>1</v>
      </c>
      <c r="E54" s="6">
        <v>0</v>
      </c>
      <c r="F54" s="6">
        <v>1.4</v>
      </c>
      <c r="G54" s="6">
        <v>1.3</v>
      </c>
      <c r="H54" s="6">
        <v>48</v>
      </c>
      <c r="I54" s="6"/>
      <c r="J54" s="6"/>
      <c r="P54" s="1"/>
      <c r="Q54" s="1"/>
    </row>
    <row r="55" spans="1:17" x14ac:dyDescent="0.25">
      <c r="A55" s="5">
        <v>44031</v>
      </c>
      <c r="B55" s="6" t="s">
        <v>44</v>
      </c>
      <c r="C55" s="6" t="s">
        <v>19</v>
      </c>
      <c r="D55" s="6">
        <v>0</v>
      </c>
      <c r="E55" s="6">
        <v>1</v>
      </c>
      <c r="F55" s="6">
        <v>0.3</v>
      </c>
      <c r="G55" s="6">
        <v>0.8</v>
      </c>
      <c r="H55" s="6">
        <v>38</v>
      </c>
      <c r="I55" s="6"/>
      <c r="J55" s="6"/>
      <c r="P55" s="1"/>
    </row>
    <row r="56" spans="1:17" x14ac:dyDescent="0.25">
      <c r="J56" s="6"/>
      <c r="P56" s="1"/>
      <c r="Q56" s="1"/>
    </row>
    <row r="57" spans="1:17" x14ac:dyDescent="0.25">
      <c r="J57" s="6"/>
      <c r="Q57" s="1"/>
    </row>
    <row r="58" spans="1:17" x14ac:dyDescent="0.25">
      <c r="A58"/>
      <c r="J58" s="6"/>
      <c r="P58" s="1"/>
      <c r="Q58" s="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554E0-B236-4929-B4FD-C00610302303}">
  <dimension ref="A1:Q56"/>
  <sheetViews>
    <sheetView topLeftCell="A15" workbookViewId="0">
      <selection activeCell="P12" sqref="P12"/>
    </sheetView>
  </sheetViews>
  <sheetFormatPr defaultRowHeight="15" x14ac:dyDescent="0.25"/>
  <cols>
    <col min="1" max="1" width="11" style="4" customWidth="1"/>
  </cols>
  <sheetData>
    <row r="1" spans="1:17" x14ac:dyDescent="0.25">
      <c r="A1" s="4" t="s">
        <v>565</v>
      </c>
    </row>
    <row r="2" spans="1:17" x14ac:dyDescent="0.25">
      <c r="A2" s="4" t="s">
        <v>141</v>
      </c>
    </row>
    <row r="3" spans="1:17" x14ac:dyDescent="0.25">
      <c r="A3" s="4" t="s">
        <v>142</v>
      </c>
    </row>
    <row r="4" spans="1:17" x14ac:dyDescent="0.25">
      <c r="A4" s="4" t="s">
        <v>143</v>
      </c>
    </row>
    <row r="6" spans="1:17" x14ac:dyDescent="0.25">
      <c r="B6" t="s">
        <v>572</v>
      </c>
    </row>
    <row r="7" spans="1:17" x14ac:dyDescent="0.25">
      <c r="A7" s="4" t="s">
        <v>0</v>
      </c>
      <c r="B7" t="s">
        <v>53</v>
      </c>
      <c r="C7" t="s">
        <v>54</v>
      </c>
      <c r="D7" t="s">
        <v>20</v>
      </c>
      <c r="E7" t="s">
        <v>21</v>
      </c>
      <c r="F7" t="s">
        <v>55</v>
      </c>
      <c r="G7" t="s">
        <v>56</v>
      </c>
      <c r="H7" t="s">
        <v>57</v>
      </c>
      <c r="I7" t="s">
        <v>24</v>
      </c>
      <c r="P7" s="1"/>
    </row>
    <row r="8" spans="1:17" s="24" customFormat="1" x14ac:dyDescent="0.25">
      <c r="A8" s="23">
        <v>44013</v>
      </c>
      <c r="B8" s="24" t="s">
        <v>43</v>
      </c>
      <c r="C8" s="24" t="s">
        <v>19</v>
      </c>
      <c r="D8" s="24">
        <v>0</v>
      </c>
      <c r="E8" s="24">
        <v>2</v>
      </c>
      <c r="F8" s="24">
        <v>1</v>
      </c>
      <c r="G8" s="24">
        <v>0.7</v>
      </c>
      <c r="H8" s="24">
        <v>51</v>
      </c>
      <c r="P8" s="25"/>
      <c r="Q8" s="25"/>
    </row>
    <row r="9" spans="1:17" x14ac:dyDescent="0.25">
      <c r="A9" s="4">
        <v>44016</v>
      </c>
      <c r="B9" t="s">
        <v>44</v>
      </c>
      <c r="C9" t="s">
        <v>4</v>
      </c>
      <c r="D9">
        <v>2</v>
      </c>
      <c r="E9">
        <v>2</v>
      </c>
      <c r="F9">
        <v>0.7</v>
      </c>
      <c r="G9">
        <v>2.2999999999999998</v>
      </c>
      <c r="H9">
        <v>47</v>
      </c>
      <c r="P9" s="1"/>
      <c r="Q9" s="1"/>
    </row>
    <row r="10" spans="1:17" x14ac:dyDescent="0.25">
      <c r="A10" s="4">
        <v>44019</v>
      </c>
      <c r="B10" t="s">
        <v>43</v>
      </c>
      <c r="C10" t="s">
        <v>18</v>
      </c>
      <c r="D10">
        <v>2</v>
      </c>
      <c r="E10">
        <v>1</v>
      </c>
      <c r="F10">
        <v>1.1000000000000001</v>
      </c>
      <c r="G10">
        <v>0.5</v>
      </c>
      <c r="H10">
        <v>59</v>
      </c>
      <c r="P10" s="1"/>
    </row>
    <row r="11" spans="1:17" x14ac:dyDescent="0.25">
      <c r="A11" s="4">
        <v>44024</v>
      </c>
      <c r="B11" t="s">
        <v>44</v>
      </c>
      <c r="C11" t="s">
        <v>19</v>
      </c>
      <c r="D11">
        <v>0</v>
      </c>
      <c r="E11">
        <v>1</v>
      </c>
      <c r="F11">
        <v>1.5</v>
      </c>
      <c r="G11">
        <v>1.2</v>
      </c>
      <c r="H11">
        <v>68</v>
      </c>
      <c r="P11" s="1"/>
    </row>
    <row r="12" spans="1:17" x14ac:dyDescent="0.25">
      <c r="A12" s="4">
        <v>44028</v>
      </c>
      <c r="B12" t="s">
        <v>43</v>
      </c>
      <c r="C12" t="s">
        <v>18</v>
      </c>
      <c r="D12">
        <v>1</v>
      </c>
      <c r="E12">
        <v>0</v>
      </c>
      <c r="F12">
        <v>1.4</v>
      </c>
      <c r="G12">
        <v>1.3</v>
      </c>
      <c r="H12">
        <v>48</v>
      </c>
      <c r="P12" s="1"/>
    </row>
    <row r="13" spans="1:17" x14ac:dyDescent="0.25">
      <c r="A13" s="4">
        <v>44031</v>
      </c>
      <c r="B13" t="s">
        <v>44</v>
      </c>
      <c r="C13" t="s">
        <v>19</v>
      </c>
      <c r="D13">
        <v>0</v>
      </c>
      <c r="E13">
        <v>1</v>
      </c>
      <c r="F13">
        <v>0.3</v>
      </c>
      <c r="G13">
        <v>0.8</v>
      </c>
      <c r="H13">
        <v>38</v>
      </c>
      <c r="P13" s="1"/>
    </row>
    <row r="14" spans="1:17" x14ac:dyDescent="0.25">
      <c r="A14" s="4">
        <v>44087</v>
      </c>
      <c r="B14" t="s">
        <v>43</v>
      </c>
      <c r="C14" t="s">
        <v>18</v>
      </c>
      <c r="D14">
        <v>4</v>
      </c>
      <c r="E14">
        <v>2</v>
      </c>
      <c r="F14">
        <v>1.9</v>
      </c>
      <c r="G14">
        <v>2</v>
      </c>
      <c r="H14">
        <v>44</v>
      </c>
      <c r="P14" s="1"/>
      <c r="Q14" s="1"/>
    </row>
    <row r="15" spans="1:17" x14ac:dyDescent="0.25">
      <c r="A15" s="4">
        <v>44093</v>
      </c>
      <c r="B15" t="s">
        <v>44</v>
      </c>
      <c r="C15" t="s">
        <v>19</v>
      </c>
      <c r="D15">
        <v>1</v>
      </c>
      <c r="E15">
        <v>2</v>
      </c>
      <c r="F15">
        <v>0.5</v>
      </c>
      <c r="G15">
        <v>2</v>
      </c>
      <c r="H15">
        <v>49</v>
      </c>
      <c r="P15" s="1"/>
      <c r="Q15" s="1"/>
    </row>
    <row r="16" spans="1:17" x14ac:dyDescent="0.25">
      <c r="A16" s="4">
        <v>44100</v>
      </c>
      <c r="B16" t="s">
        <v>43</v>
      </c>
      <c r="C16" t="s">
        <v>4</v>
      </c>
      <c r="D16">
        <v>1</v>
      </c>
      <c r="E16">
        <v>1</v>
      </c>
      <c r="F16">
        <v>0.6</v>
      </c>
      <c r="G16">
        <v>0.9</v>
      </c>
      <c r="H16">
        <v>48</v>
      </c>
      <c r="P16" s="1"/>
    </row>
    <row r="17" spans="1:17" x14ac:dyDescent="0.25">
      <c r="A17" s="4">
        <v>44103</v>
      </c>
      <c r="B17" t="s">
        <v>44</v>
      </c>
      <c r="C17" t="s">
        <v>18</v>
      </c>
      <c r="D17">
        <v>1</v>
      </c>
      <c r="E17">
        <v>0</v>
      </c>
      <c r="F17">
        <v>0.9</v>
      </c>
      <c r="G17">
        <v>0.5</v>
      </c>
      <c r="H17">
        <v>35</v>
      </c>
      <c r="P17" s="1"/>
      <c r="Q17" s="1"/>
    </row>
    <row r="18" spans="1:17" x14ac:dyDescent="0.25">
      <c r="A18" s="4">
        <v>44107</v>
      </c>
      <c r="B18" t="s">
        <v>43</v>
      </c>
      <c r="C18" t="s">
        <v>19</v>
      </c>
      <c r="D18">
        <v>0</v>
      </c>
      <c r="E18">
        <v>2</v>
      </c>
      <c r="F18">
        <v>0.5</v>
      </c>
      <c r="G18">
        <v>2</v>
      </c>
      <c r="H18">
        <v>47</v>
      </c>
      <c r="P18" s="1"/>
      <c r="Q18" s="1"/>
    </row>
    <row r="19" spans="1:17" x14ac:dyDescent="0.25">
      <c r="A19" s="4">
        <v>44122</v>
      </c>
      <c r="B19" t="s">
        <v>44</v>
      </c>
      <c r="C19" t="s">
        <v>19</v>
      </c>
      <c r="D19">
        <v>1</v>
      </c>
      <c r="E19">
        <v>2</v>
      </c>
      <c r="F19">
        <v>0.6</v>
      </c>
      <c r="G19">
        <v>1.5</v>
      </c>
      <c r="H19">
        <v>38</v>
      </c>
      <c r="P19" s="1"/>
      <c r="Q19" s="1"/>
    </row>
    <row r="20" spans="1:17" x14ac:dyDescent="0.25">
      <c r="A20" s="4">
        <v>44127</v>
      </c>
      <c r="B20" t="s">
        <v>44</v>
      </c>
      <c r="C20" t="s">
        <v>19</v>
      </c>
      <c r="D20">
        <v>1</v>
      </c>
      <c r="E20">
        <v>2</v>
      </c>
      <c r="F20">
        <v>1.6</v>
      </c>
      <c r="G20">
        <v>0.1</v>
      </c>
      <c r="H20">
        <v>53</v>
      </c>
    </row>
    <row r="21" spans="1:17" x14ac:dyDescent="0.25">
      <c r="A21" s="4">
        <v>44136</v>
      </c>
      <c r="B21" t="s">
        <v>43</v>
      </c>
      <c r="C21" t="s">
        <v>4</v>
      </c>
      <c r="D21">
        <v>2</v>
      </c>
      <c r="E21">
        <v>2</v>
      </c>
      <c r="F21">
        <v>1.4</v>
      </c>
      <c r="G21">
        <v>2.4</v>
      </c>
      <c r="H21">
        <v>38</v>
      </c>
      <c r="P21" s="1"/>
      <c r="Q21" s="1"/>
    </row>
    <row r="22" spans="1:17" x14ac:dyDescent="0.25">
      <c r="A22" s="4">
        <v>44143</v>
      </c>
      <c r="B22" t="s">
        <v>43</v>
      </c>
      <c r="C22" t="s">
        <v>18</v>
      </c>
      <c r="D22">
        <v>4</v>
      </c>
      <c r="E22">
        <v>1</v>
      </c>
      <c r="F22">
        <v>2.5</v>
      </c>
      <c r="G22">
        <v>1.3</v>
      </c>
      <c r="H22">
        <v>35</v>
      </c>
      <c r="P22" s="1"/>
    </row>
    <row r="23" spans="1:17" x14ac:dyDescent="0.25">
      <c r="A23" s="4">
        <v>44157</v>
      </c>
      <c r="B23" t="s">
        <v>44</v>
      </c>
      <c r="C23" t="s">
        <v>4</v>
      </c>
      <c r="D23">
        <v>2</v>
      </c>
      <c r="E23">
        <v>2</v>
      </c>
      <c r="F23">
        <v>1.9</v>
      </c>
      <c r="G23">
        <v>1.7</v>
      </c>
      <c r="H23">
        <v>66</v>
      </c>
      <c r="P23" s="1"/>
      <c r="Q23" s="1"/>
    </row>
    <row r="24" spans="1:17" x14ac:dyDescent="0.25">
      <c r="A24" s="4">
        <v>44163</v>
      </c>
      <c r="B24" t="s">
        <v>43</v>
      </c>
      <c r="C24" t="s">
        <v>19</v>
      </c>
      <c r="D24">
        <v>0</v>
      </c>
      <c r="E24">
        <v>1</v>
      </c>
      <c r="F24">
        <v>0.2</v>
      </c>
      <c r="G24">
        <v>0.9</v>
      </c>
      <c r="H24">
        <v>34</v>
      </c>
      <c r="P24" s="1"/>
    </row>
    <row r="25" spans="1:17" x14ac:dyDescent="0.25">
      <c r="A25" s="4">
        <v>44172</v>
      </c>
      <c r="B25" t="s">
        <v>44</v>
      </c>
      <c r="C25" t="s">
        <v>4</v>
      </c>
      <c r="D25">
        <v>0</v>
      </c>
      <c r="E25">
        <v>0</v>
      </c>
      <c r="F25">
        <v>0.5</v>
      </c>
      <c r="G25">
        <v>1.3</v>
      </c>
      <c r="H25">
        <v>37</v>
      </c>
      <c r="P25" s="1"/>
      <c r="Q25" s="1"/>
    </row>
    <row r="26" spans="1:17" x14ac:dyDescent="0.25">
      <c r="A26" s="4">
        <v>44177</v>
      </c>
      <c r="B26" t="s">
        <v>43</v>
      </c>
      <c r="C26" t="s">
        <v>4</v>
      </c>
      <c r="D26">
        <v>2</v>
      </c>
      <c r="E26">
        <v>2</v>
      </c>
      <c r="F26">
        <v>1.5</v>
      </c>
      <c r="G26">
        <v>1.9</v>
      </c>
      <c r="H26">
        <v>41</v>
      </c>
    </row>
    <row r="27" spans="1:17" x14ac:dyDescent="0.25">
      <c r="A27" s="4">
        <v>44181</v>
      </c>
      <c r="B27" t="s">
        <v>44</v>
      </c>
      <c r="C27" t="s">
        <v>18</v>
      </c>
      <c r="D27">
        <v>4</v>
      </c>
      <c r="E27">
        <v>2</v>
      </c>
      <c r="P27" s="1"/>
      <c r="Q27" s="1"/>
    </row>
    <row r="28" spans="1:17" x14ac:dyDescent="0.25">
      <c r="A28" s="4">
        <v>44184</v>
      </c>
      <c r="B28" t="s">
        <v>44</v>
      </c>
      <c r="C28" t="s">
        <v>4</v>
      </c>
      <c r="D28">
        <v>2</v>
      </c>
      <c r="E28">
        <v>2</v>
      </c>
      <c r="F28">
        <v>1.6</v>
      </c>
      <c r="G28">
        <v>2.2999999999999998</v>
      </c>
      <c r="H28">
        <v>28</v>
      </c>
      <c r="P28" s="1"/>
    </row>
    <row r="29" spans="1:17" x14ac:dyDescent="0.25">
      <c r="A29" s="4">
        <v>44187</v>
      </c>
      <c r="B29" t="s">
        <v>43</v>
      </c>
      <c r="C29" t="s">
        <v>19</v>
      </c>
      <c r="D29">
        <v>0</v>
      </c>
      <c r="E29">
        <v>1</v>
      </c>
      <c r="F29">
        <v>0.6</v>
      </c>
      <c r="G29">
        <v>1.8</v>
      </c>
      <c r="H29">
        <v>30</v>
      </c>
    </row>
    <row r="30" spans="1:17" x14ac:dyDescent="0.25">
      <c r="A30" s="4">
        <v>44195</v>
      </c>
      <c r="B30" t="s">
        <v>44</v>
      </c>
      <c r="C30" t="s">
        <v>19</v>
      </c>
      <c r="D30">
        <v>1</v>
      </c>
      <c r="E30">
        <v>2</v>
      </c>
      <c r="F30">
        <v>1.5</v>
      </c>
      <c r="G30">
        <v>2.2000000000000002</v>
      </c>
      <c r="H30">
        <v>47</v>
      </c>
      <c r="P30" s="1"/>
    </row>
    <row r="31" spans="1:17" x14ac:dyDescent="0.25">
      <c r="A31" s="4">
        <v>44200</v>
      </c>
      <c r="B31" t="s">
        <v>43</v>
      </c>
      <c r="C31" t="s">
        <v>4</v>
      </c>
      <c r="D31">
        <v>1</v>
      </c>
      <c r="E31">
        <v>1</v>
      </c>
      <c r="F31">
        <v>0.8</v>
      </c>
      <c r="G31">
        <v>0.8</v>
      </c>
      <c r="H31">
        <v>71</v>
      </c>
      <c r="Q31" s="1"/>
    </row>
    <row r="32" spans="1:17" x14ac:dyDescent="0.25">
      <c r="A32" s="4">
        <v>44203</v>
      </c>
      <c r="B32" t="s">
        <v>44</v>
      </c>
      <c r="C32" t="s">
        <v>18</v>
      </c>
      <c r="D32">
        <v>4</v>
      </c>
      <c r="E32">
        <v>1</v>
      </c>
      <c r="H32">
        <v>68</v>
      </c>
      <c r="P32" s="1"/>
      <c r="Q32" s="1"/>
    </row>
    <row r="33" spans="1:17" x14ac:dyDescent="0.25">
      <c r="A33" s="4">
        <v>44206</v>
      </c>
      <c r="B33" t="s">
        <v>44</v>
      </c>
      <c r="C33" t="s">
        <v>18</v>
      </c>
      <c r="D33">
        <v>1</v>
      </c>
      <c r="E33">
        <v>0</v>
      </c>
      <c r="F33">
        <v>1.2</v>
      </c>
      <c r="G33">
        <v>0.7</v>
      </c>
      <c r="H33">
        <v>58</v>
      </c>
      <c r="P33" s="1"/>
      <c r="Q33" s="1"/>
    </row>
    <row r="34" spans="1:17" x14ac:dyDescent="0.25">
      <c r="A34" s="4">
        <v>44213</v>
      </c>
      <c r="B34" t="s">
        <v>44</v>
      </c>
      <c r="C34" t="s">
        <v>18</v>
      </c>
      <c r="D34">
        <v>2</v>
      </c>
      <c r="E34">
        <v>0</v>
      </c>
      <c r="H34">
        <v>51</v>
      </c>
      <c r="P34" s="1"/>
      <c r="Q34" s="1"/>
    </row>
    <row r="35" spans="1:17" x14ac:dyDescent="0.25">
      <c r="A35" s="4">
        <v>44217</v>
      </c>
      <c r="B35" t="s">
        <v>43</v>
      </c>
      <c r="C35" t="s">
        <v>4</v>
      </c>
      <c r="D35">
        <v>1</v>
      </c>
      <c r="E35">
        <v>1</v>
      </c>
      <c r="F35">
        <v>0.5</v>
      </c>
      <c r="G35">
        <v>1.6</v>
      </c>
      <c r="H35">
        <v>64</v>
      </c>
      <c r="P35" s="1"/>
    </row>
    <row r="36" spans="1:17" x14ac:dyDescent="0.25">
      <c r="A36" s="4">
        <v>44220</v>
      </c>
      <c r="B36" t="s">
        <v>44</v>
      </c>
      <c r="C36" t="s">
        <v>19</v>
      </c>
      <c r="D36">
        <v>1</v>
      </c>
      <c r="E36">
        <v>3</v>
      </c>
      <c r="F36">
        <v>0.3</v>
      </c>
      <c r="G36">
        <v>1.8</v>
      </c>
      <c r="H36">
        <v>51</v>
      </c>
      <c r="P36" s="1"/>
      <c r="Q36" s="1"/>
    </row>
    <row r="37" spans="1:17" x14ac:dyDescent="0.25">
      <c r="A37" s="4">
        <v>44223</v>
      </c>
      <c r="B37" t="s">
        <v>44</v>
      </c>
      <c r="C37" t="s">
        <v>19</v>
      </c>
      <c r="D37">
        <v>0</v>
      </c>
      <c r="E37">
        <v>3</v>
      </c>
      <c r="H37">
        <v>39</v>
      </c>
      <c r="P37" s="1"/>
      <c r="Q37" s="1"/>
    </row>
    <row r="38" spans="1:17" x14ac:dyDescent="0.25">
      <c r="A38" s="4">
        <v>44226</v>
      </c>
      <c r="B38" t="s">
        <v>43</v>
      </c>
      <c r="C38" t="s">
        <v>18</v>
      </c>
      <c r="D38">
        <v>1</v>
      </c>
      <c r="E38">
        <v>0</v>
      </c>
      <c r="F38">
        <v>2.8</v>
      </c>
      <c r="G38">
        <v>0.4</v>
      </c>
      <c r="H38">
        <v>45</v>
      </c>
    </row>
    <row r="39" spans="1:17" x14ac:dyDescent="0.25">
      <c r="A39" s="4">
        <v>44234</v>
      </c>
      <c r="B39" t="s">
        <v>44</v>
      </c>
      <c r="C39" t="s">
        <v>4</v>
      </c>
      <c r="D39">
        <v>1</v>
      </c>
      <c r="E39">
        <v>1</v>
      </c>
      <c r="F39">
        <v>0.9</v>
      </c>
      <c r="G39">
        <v>1.2</v>
      </c>
      <c r="H39">
        <v>50</v>
      </c>
      <c r="P39" s="1"/>
      <c r="Q39" s="1"/>
    </row>
    <row r="40" spans="1:17" x14ac:dyDescent="0.25">
      <c r="A40" s="4">
        <v>44241</v>
      </c>
      <c r="B40" t="s">
        <v>44</v>
      </c>
      <c r="C40" t="s">
        <v>19</v>
      </c>
      <c r="D40">
        <v>0</v>
      </c>
      <c r="E40">
        <v>2</v>
      </c>
      <c r="F40">
        <v>0.1</v>
      </c>
      <c r="G40">
        <v>0.8</v>
      </c>
      <c r="H40">
        <v>39</v>
      </c>
      <c r="P40" s="1"/>
    </row>
    <row r="41" spans="1:17" x14ac:dyDescent="0.25">
      <c r="A41" s="4">
        <v>44247</v>
      </c>
      <c r="B41" t="s">
        <v>43</v>
      </c>
      <c r="C41" t="s">
        <v>18</v>
      </c>
      <c r="D41">
        <v>2</v>
      </c>
      <c r="E41">
        <v>0</v>
      </c>
      <c r="F41">
        <v>1.2</v>
      </c>
      <c r="G41">
        <v>0.7</v>
      </c>
      <c r="H41">
        <v>57</v>
      </c>
      <c r="P41" s="1"/>
    </row>
    <row r="42" spans="1:17" x14ac:dyDescent="0.25">
      <c r="A42" s="4">
        <v>44254</v>
      </c>
      <c r="B42" t="s">
        <v>44</v>
      </c>
      <c r="C42" t="s">
        <v>19</v>
      </c>
      <c r="D42">
        <v>0</v>
      </c>
      <c r="E42">
        <v>3</v>
      </c>
      <c r="F42">
        <v>0.3</v>
      </c>
      <c r="G42">
        <v>0.9</v>
      </c>
      <c r="H42">
        <v>57</v>
      </c>
      <c r="P42" s="1"/>
      <c r="Q42" s="1"/>
    </row>
    <row r="43" spans="1:17" x14ac:dyDescent="0.25">
      <c r="A43" s="4">
        <v>44260</v>
      </c>
      <c r="B43" t="s">
        <v>43</v>
      </c>
      <c r="C43" t="s">
        <v>18</v>
      </c>
      <c r="D43">
        <v>2</v>
      </c>
      <c r="E43">
        <v>1</v>
      </c>
      <c r="F43">
        <v>1.9</v>
      </c>
      <c r="G43">
        <v>1.9</v>
      </c>
      <c r="H43">
        <v>53</v>
      </c>
      <c r="P43" s="1"/>
    </row>
    <row r="44" spans="1:17" x14ac:dyDescent="0.25">
      <c r="A44" s="4">
        <v>44267</v>
      </c>
      <c r="B44" t="s">
        <v>44</v>
      </c>
      <c r="C44" t="s">
        <v>19</v>
      </c>
      <c r="D44">
        <v>0</v>
      </c>
      <c r="E44">
        <v>1</v>
      </c>
      <c r="F44">
        <v>0.7</v>
      </c>
      <c r="G44">
        <v>0.8</v>
      </c>
      <c r="H44">
        <v>56</v>
      </c>
      <c r="P44" s="1"/>
      <c r="Q44" s="1"/>
    </row>
    <row r="45" spans="1:17" x14ac:dyDescent="0.25">
      <c r="A45" s="4">
        <v>44276</v>
      </c>
      <c r="B45" t="s">
        <v>43</v>
      </c>
      <c r="C45" t="s">
        <v>18</v>
      </c>
      <c r="D45">
        <v>2</v>
      </c>
      <c r="E45">
        <v>1</v>
      </c>
      <c r="F45">
        <v>1.9</v>
      </c>
      <c r="G45">
        <v>1.2</v>
      </c>
      <c r="H45">
        <v>49</v>
      </c>
      <c r="P45" s="1"/>
      <c r="Q45" s="1"/>
    </row>
    <row r="46" spans="1:17" x14ac:dyDescent="0.25">
      <c r="A46" s="4">
        <v>44290</v>
      </c>
      <c r="B46" t="s">
        <v>44</v>
      </c>
      <c r="C46" t="s">
        <v>19</v>
      </c>
      <c r="D46">
        <v>1</v>
      </c>
      <c r="E46">
        <v>2</v>
      </c>
      <c r="F46">
        <v>1.2</v>
      </c>
      <c r="G46">
        <v>0.6</v>
      </c>
      <c r="H46">
        <v>66</v>
      </c>
      <c r="P46" s="1"/>
    </row>
    <row r="47" spans="1:17" x14ac:dyDescent="0.25">
      <c r="A47" s="4">
        <v>44297</v>
      </c>
      <c r="B47" t="s">
        <v>43</v>
      </c>
      <c r="C47" t="s">
        <v>4</v>
      </c>
      <c r="D47">
        <v>2</v>
      </c>
      <c r="E47">
        <v>2</v>
      </c>
      <c r="F47">
        <v>2.2999999999999998</v>
      </c>
      <c r="G47">
        <v>1</v>
      </c>
      <c r="H47">
        <v>41</v>
      </c>
      <c r="P47" s="1"/>
      <c r="Q47" s="1"/>
    </row>
    <row r="48" spans="1:17" x14ac:dyDescent="0.25">
      <c r="A48" s="4">
        <v>44304</v>
      </c>
      <c r="B48" t="s">
        <v>44</v>
      </c>
      <c r="C48" t="s">
        <v>4</v>
      </c>
      <c r="D48">
        <v>2</v>
      </c>
      <c r="E48">
        <v>2</v>
      </c>
      <c r="F48">
        <v>1.6</v>
      </c>
      <c r="G48">
        <v>0.7</v>
      </c>
      <c r="H48">
        <v>44</v>
      </c>
      <c r="P48" s="1"/>
      <c r="Q48" s="1"/>
    </row>
    <row r="49" spans="1:17" x14ac:dyDescent="0.25">
      <c r="A49" s="4">
        <v>44307</v>
      </c>
      <c r="B49" t="s">
        <v>44</v>
      </c>
      <c r="C49" t="s">
        <v>19</v>
      </c>
      <c r="D49">
        <v>1</v>
      </c>
      <c r="E49">
        <v>3</v>
      </c>
      <c r="F49">
        <v>1.1000000000000001</v>
      </c>
      <c r="G49">
        <v>2.9</v>
      </c>
      <c r="H49">
        <v>55</v>
      </c>
      <c r="P49" s="1"/>
      <c r="Q49" s="1"/>
    </row>
    <row r="50" spans="1:17" x14ac:dyDescent="0.25">
      <c r="A50" s="4">
        <v>44310</v>
      </c>
      <c r="B50" t="s">
        <v>43</v>
      </c>
      <c r="C50" t="s">
        <v>4</v>
      </c>
      <c r="D50">
        <v>1</v>
      </c>
      <c r="E50">
        <v>1</v>
      </c>
      <c r="F50">
        <v>1</v>
      </c>
      <c r="G50">
        <v>1</v>
      </c>
      <c r="H50">
        <v>54</v>
      </c>
      <c r="P50" s="1"/>
      <c r="Q50" s="1"/>
    </row>
    <row r="51" spans="1:17" x14ac:dyDescent="0.25">
      <c r="A51" s="4">
        <v>44318</v>
      </c>
      <c r="B51" t="s">
        <v>43</v>
      </c>
      <c r="C51" t="s">
        <v>19</v>
      </c>
      <c r="D51">
        <v>2</v>
      </c>
      <c r="E51">
        <v>3</v>
      </c>
      <c r="F51">
        <v>1.2</v>
      </c>
      <c r="G51">
        <v>3</v>
      </c>
      <c r="H51">
        <v>32</v>
      </c>
    </row>
    <row r="52" spans="1:17" x14ac:dyDescent="0.25">
      <c r="A52" s="4">
        <v>44325</v>
      </c>
      <c r="B52" t="s">
        <v>43</v>
      </c>
      <c r="C52" t="s">
        <v>18</v>
      </c>
      <c r="D52">
        <v>3</v>
      </c>
      <c r="E52">
        <v>0</v>
      </c>
      <c r="F52">
        <v>1.3</v>
      </c>
      <c r="G52">
        <v>1</v>
      </c>
      <c r="H52">
        <v>41</v>
      </c>
    </row>
    <row r="53" spans="1:17" x14ac:dyDescent="0.25">
      <c r="A53" s="4">
        <v>44328</v>
      </c>
      <c r="B53" t="s">
        <v>44</v>
      </c>
      <c r="C53" t="s">
        <v>19</v>
      </c>
      <c r="D53">
        <v>0</v>
      </c>
      <c r="E53">
        <v>1</v>
      </c>
      <c r="F53">
        <v>0.4</v>
      </c>
      <c r="G53">
        <v>0.9</v>
      </c>
      <c r="H53">
        <v>39</v>
      </c>
    </row>
    <row r="54" spans="1:17" x14ac:dyDescent="0.25">
      <c r="A54" s="4">
        <v>44332</v>
      </c>
      <c r="B54" t="s">
        <v>43</v>
      </c>
      <c r="C54" t="s">
        <v>18</v>
      </c>
      <c r="D54">
        <v>4</v>
      </c>
      <c r="E54">
        <v>1</v>
      </c>
      <c r="F54">
        <v>1.3</v>
      </c>
      <c r="G54">
        <v>2.2999999999999998</v>
      </c>
      <c r="H54">
        <v>43</v>
      </c>
      <c r="I54" s="2">
        <v>2689</v>
      </c>
    </row>
    <row r="55" spans="1:17" x14ac:dyDescent="0.25">
      <c r="A55" s="22">
        <v>44338</v>
      </c>
      <c r="B55" s="20" t="s">
        <v>44</v>
      </c>
      <c r="C55" s="20" t="s">
        <v>4</v>
      </c>
      <c r="D55" s="20">
        <v>0</v>
      </c>
      <c r="E55" s="20">
        <v>0</v>
      </c>
      <c r="F55" s="20">
        <v>0.5</v>
      </c>
      <c r="G55" s="20">
        <v>1.3</v>
      </c>
      <c r="H55" s="20">
        <v>46</v>
      </c>
      <c r="I55" s="20"/>
    </row>
    <row r="56" spans="1:17" x14ac:dyDescent="0.25">
      <c r="A56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846A0-4E5B-4340-B66E-B38CE54DA2C8}">
  <dimension ref="A1:R54"/>
  <sheetViews>
    <sheetView workbookViewId="0">
      <selection activeCell="T21" sqref="T21"/>
    </sheetView>
  </sheetViews>
  <sheetFormatPr defaultRowHeight="15" x14ac:dyDescent="0.25"/>
  <cols>
    <col min="1" max="1" width="12" style="4" customWidth="1"/>
  </cols>
  <sheetData>
    <row r="1" spans="1:18" x14ac:dyDescent="0.25">
      <c r="A1" s="4" t="s">
        <v>137</v>
      </c>
    </row>
    <row r="2" spans="1:18" x14ac:dyDescent="0.25">
      <c r="A2" s="4" t="s">
        <v>138</v>
      </c>
    </row>
    <row r="3" spans="1:18" x14ac:dyDescent="0.25">
      <c r="A3" s="4" t="s">
        <v>139</v>
      </c>
    </row>
    <row r="4" spans="1:18" x14ac:dyDescent="0.25">
      <c r="A4" s="4" t="s">
        <v>140</v>
      </c>
    </row>
    <row r="6" spans="1:18" x14ac:dyDescent="0.25">
      <c r="B6" t="s">
        <v>569</v>
      </c>
    </row>
    <row r="7" spans="1:18" x14ac:dyDescent="0.25">
      <c r="A7" s="4" t="s">
        <v>0</v>
      </c>
      <c r="B7" t="s">
        <v>53</v>
      </c>
      <c r="C7" t="s">
        <v>54</v>
      </c>
      <c r="D7" t="s">
        <v>20</v>
      </c>
      <c r="E7" t="s">
        <v>21</v>
      </c>
      <c r="F7" t="s">
        <v>55</v>
      </c>
      <c r="G7" t="s">
        <v>56</v>
      </c>
      <c r="H7" t="s">
        <v>57</v>
      </c>
      <c r="I7" t="s">
        <v>24</v>
      </c>
    </row>
    <row r="8" spans="1:18" s="24" customFormat="1" x14ac:dyDescent="0.25">
      <c r="A8" s="23">
        <v>44421</v>
      </c>
      <c r="B8" s="24" t="s">
        <v>43</v>
      </c>
      <c r="C8" s="24" t="s">
        <v>18</v>
      </c>
      <c r="D8" s="24">
        <v>1</v>
      </c>
      <c r="E8" s="24">
        <v>0</v>
      </c>
      <c r="F8" s="24">
        <v>1.5</v>
      </c>
      <c r="G8" s="24">
        <v>1.4</v>
      </c>
      <c r="H8" s="24">
        <v>27</v>
      </c>
      <c r="I8" s="26">
        <v>9868</v>
      </c>
      <c r="P8" s="25"/>
      <c r="Q8" s="25"/>
    </row>
    <row r="9" spans="1:18" x14ac:dyDescent="0.25">
      <c r="A9" s="4">
        <v>44429</v>
      </c>
      <c r="B9" t="s">
        <v>44</v>
      </c>
      <c r="C9" t="s">
        <v>4</v>
      </c>
      <c r="D9">
        <v>1</v>
      </c>
      <c r="E9">
        <v>1</v>
      </c>
      <c r="F9">
        <v>1.5</v>
      </c>
      <c r="G9">
        <v>1.1000000000000001</v>
      </c>
      <c r="H9">
        <v>53</v>
      </c>
      <c r="I9" s="2">
        <v>6267</v>
      </c>
      <c r="P9" s="1"/>
      <c r="Q9" s="1"/>
    </row>
    <row r="10" spans="1:18" x14ac:dyDescent="0.25">
      <c r="A10" s="4">
        <v>44435</v>
      </c>
      <c r="B10" t="s">
        <v>43</v>
      </c>
      <c r="C10" t="s">
        <v>18</v>
      </c>
      <c r="D10">
        <v>3</v>
      </c>
      <c r="E10">
        <v>0</v>
      </c>
      <c r="F10">
        <v>1.6</v>
      </c>
      <c r="G10">
        <v>0.4</v>
      </c>
      <c r="H10">
        <v>49</v>
      </c>
      <c r="I10" s="2">
        <v>10627</v>
      </c>
      <c r="P10" s="1"/>
      <c r="Q10" s="1"/>
    </row>
    <row r="11" spans="1:18" x14ac:dyDescent="0.25">
      <c r="A11" s="4">
        <v>44451</v>
      </c>
      <c r="B11" t="s">
        <v>44</v>
      </c>
      <c r="C11" t="s">
        <v>18</v>
      </c>
      <c r="D11">
        <v>4</v>
      </c>
      <c r="E11">
        <v>1</v>
      </c>
      <c r="F11">
        <v>0.9</v>
      </c>
      <c r="G11">
        <v>0.6</v>
      </c>
      <c r="H11">
        <v>42</v>
      </c>
      <c r="I11" s="2">
        <v>13940</v>
      </c>
      <c r="P11" s="1"/>
      <c r="R11" s="1"/>
    </row>
    <row r="12" spans="1:18" x14ac:dyDescent="0.25">
      <c r="A12" s="4">
        <v>44458</v>
      </c>
      <c r="B12" t="s">
        <v>43</v>
      </c>
      <c r="C12" t="s">
        <v>19</v>
      </c>
      <c r="D12">
        <v>1</v>
      </c>
      <c r="E12">
        <v>2</v>
      </c>
      <c r="F12">
        <v>0.9</v>
      </c>
      <c r="G12">
        <v>1.3</v>
      </c>
      <c r="H12">
        <v>39</v>
      </c>
      <c r="I12" s="2">
        <v>26689</v>
      </c>
      <c r="P12" s="1"/>
    </row>
    <row r="13" spans="1:18" x14ac:dyDescent="0.25">
      <c r="A13" s="4">
        <v>44461</v>
      </c>
      <c r="B13" t="s">
        <v>44</v>
      </c>
      <c r="C13" t="s">
        <v>19</v>
      </c>
      <c r="D13">
        <v>1</v>
      </c>
      <c r="E13">
        <v>3</v>
      </c>
      <c r="F13">
        <v>0.4</v>
      </c>
      <c r="G13">
        <v>1</v>
      </c>
      <c r="H13">
        <v>42</v>
      </c>
      <c r="I13" s="2">
        <v>23654</v>
      </c>
      <c r="P13" s="1"/>
    </row>
    <row r="14" spans="1:18" x14ac:dyDescent="0.25">
      <c r="A14" s="4">
        <v>44464</v>
      </c>
      <c r="B14" t="s">
        <v>43</v>
      </c>
      <c r="C14" t="s">
        <v>4</v>
      </c>
      <c r="D14">
        <v>1</v>
      </c>
      <c r="E14">
        <v>1</v>
      </c>
      <c r="F14">
        <v>0.9</v>
      </c>
      <c r="G14">
        <v>0.8</v>
      </c>
      <c r="H14">
        <v>52</v>
      </c>
      <c r="I14" s="2">
        <v>13680</v>
      </c>
      <c r="P14" s="1"/>
      <c r="Q14" s="1"/>
    </row>
    <row r="15" spans="1:18" x14ac:dyDescent="0.25">
      <c r="A15" s="4">
        <v>44471</v>
      </c>
      <c r="B15" t="s">
        <v>44</v>
      </c>
      <c r="C15" t="s">
        <v>4</v>
      </c>
      <c r="D15">
        <v>0</v>
      </c>
      <c r="E15">
        <v>0</v>
      </c>
      <c r="F15">
        <v>1.1000000000000001</v>
      </c>
      <c r="G15">
        <v>0.2</v>
      </c>
      <c r="H15">
        <v>67</v>
      </c>
      <c r="I15" s="2">
        <v>14794</v>
      </c>
      <c r="P15" s="1"/>
      <c r="Q15" s="1"/>
    </row>
    <row r="16" spans="1:18" x14ac:dyDescent="0.25">
      <c r="A16" s="4">
        <v>44486</v>
      </c>
      <c r="B16" t="s">
        <v>44</v>
      </c>
      <c r="C16" t="s">
        <v>19</v>
      </c>
      <c r="D16">
        <v>1</v>
      </c>
      <c r="E16">
        <v>3</v>
      </c>
      <c r="F16">
        <v>0.4</v>
      </c>
      <c r="G16">
        <v>1.9</v>
      </c>
      <c r="H16">
        <v>40</v>
      </c>
      <c r="I16" s="2">
        <v>47317</v>
      </c>
      <c r="Q16" s="1"/>
    </row>
    <row r="17" spans="1:17" x14ac:dyDescent="0.25">
      <c r="A17" s="4">
        <v>44492</v>
      </c>
      <c r="B17" t="s">
        <v>43</v>
      </c>
      <c r="C17" t="s">
        <v>4</v>
      </c>
      <c r="D17">
        <v>2</v>
      </c>
      <c r="E17">
        <v>2</v>
      </c>
      <c r="F17">
        <v>1.8</v>
      </c>
      <c r="G17">
        <v>0.6</v>
      </c>
      <c r="H17">
        <v>73</v>
      </c>
      <c r="I17" s="2">
        <v>29139</v>
      </c>
      <c r="P17" s="1"/>
    </row>
    <row r="18" spans="1:17" x14ac:dyDescent="0.25">
      <c r="A18" s="4">
        <v>44496</v>
      </c>
      <c r="B18" t="s">
        <v>44</v>
      </c>
      <c r="C18" t="s">
        <v>19</v>
      </c>
      <c r="D18">
        <v>1</v>
      </c>
      <c r="E18">
        <v>4</v>
      </c>
      <c r="F18">
        <v>1.6</v>
      </c>
      <c r="G18">
        <v>2</v>
      </c>
      <c r="H18">
        <v>40</v>
      </c>
      <c r="I18" s="2">
        <v>43123</v>
      </c>
      <c r="P18" s="1"/>
    </row>
    <row r="19" spans="1:17" x14ac:dyDescent="0.25">
      <c r="A19" s="4">
        <v>44499</v>
      </c>
      <c r="B19" t="s">
        <v>43</v>
      </c>
      <c r="C19" t="s">
        <v>18</v>
      </c>
      <c r="D19">
        <v>2</v>
      </c>
      <c r="E19">
        <v>0</v>
      </c>
      <c r="F19">
        <v>1.1000000000000001</v>
      </c>
      <c r="G19">
        <v>0.8</v>
      </c>
      <c r="H19">
        <v>26</v>
      </c>
      <c r="I19" s="2">
        <v>31487</v>
      </c>
    </row>
    <row r="20" spans="1:17" x14ac:dyDescent="0.25">
      <c r="A20" s="4">
        <v>44507</v>
      </c>
      <c r="B20" t="s">
        <v>43</v>
      </c>
      <c r="C20" t="s">
        <v>4</v>
      </c>
      <c r="D20">
        <v>3</v>
      </c>
      <c r="E20">
        <v>3</v>
      </c>
      <c r="F20">
        <v>1.1000000000000001</v>
      </c>
      <c r="G20">
        <v>2.2999999999999998</v>
      </c>
      <c r="H20">
        <v>48</v>
      </c>
      <c r="I20" s="2">
        <v>37472</v>
      </c>
      <c r="Q20" s="1"/>
    </row>
    <row r="21" spans="1:17" x14ac:dyDescent="0.25">
      <c r="A21" s="4">
        <v>44521</v>
      </c>
      <c r="B21" t="s">
        <v>44</v>
      </c>
      <c r="C21" t="s">
        <v>4</v>
      </c>
      <c r="D21">
        <v>0</v>
      </c>
      <c r="E21">
        <v>0</v>
      </c>
      <c r="F21">
        <v>0.7</v>
      </c>
      <c r="G21">
        <v>0.3</v>
      </c>
      <c r="H21">
        <v>38</v>
      </c>
      <c r="I21" s="2">
        <v>28635</v>
      </c>
    </row>
    <row r="22" spans="1:17" x14ac:dyDescent="0.25">
      <c r="A22" s="4">
        <v>44527</v>
      </c>
      <c r="B22" t="s">
        <v>43</v>
      </c>
      <c r="C22" t="s">
        <v>4</v>
      </c>
      <c r="D22">
        <v>1</v>
      </c>
      <c r="E22">
        <v>1</v>
      </c>
      <c r="F22">
        <v>1.6</v>
      </c>
      <c r="G22">
        <v>1.2</v>
      </c>
      <c r="H22">
        <v>42</v>
      </c>
      <c r="I22" s="2">
        <v>30030</v>
      </c>
      <c r="P22" s="1"/>
    </row>
    <row r="23" spans="1:17" x14ac:dyDescent="0.25">
      <c r="A23" s="4">
        <v>44532</v>
      </c>
      <c r="B23" t="s">
        <v>44</v>
      </c>
      <c r="C23" t="s">
        <v>18</v>
      </c>
      <c r="D23">
        <v>3</v>
      </c>
      <c r="E23">
        <v>0</v>
      </c>
      <c r="H23">
        <v>76</v>
      </c>
      <c r="I23" s="2">
        <v>1800</v>
      </c>
      <c r="P23" s="1"/>
      <c r="Q23" s="1"/>
    </row>
    <row r="24" spans="1:17" x14ac:dyDescent="0.25">
      <c r="A24" s="4">
        <v>44535</v>
      </c>
      <c r="B24" t="s">
        <v>44</v>
      </c>
      <c r="C24" t="s">
        <v>18</v>
      </c>
      <c r="D24">
        <v>2</v>
      </c>
      <c r="E24">
        <v>1</v>
      </c>
      <c r="F24">
        <v>1.3</v>
      </c>
      <c r="G24">
        <v>0.9</v>
      </c>
      <c r="H24">
        <v>34</v>
      </c>
      <c r="I24" s="2">
        <v>11361</v>
      </c>
      <c r="P24" s="1"/>
    </row>
    <row r="25" spans="1:17" x14ac:dyDescent="0.25">
      <c r="A25" s="4">
        <v>44541</v>
      </c>
      <c r="B25" t="s">
        <v>43</v>
      </c>
      <c r="C25" t="s">
        <v>18</v>
      </c>
      <c r="D25">
        <v>2</v>
      </c>
      <c r="E25">
        <v>1</v>
      </c>
      <c r="F25">
        <v>1.6</v>
      </c>
      <c r="G25">
        <v>0.9</v>
      </c>
      <c r="H25">
        <v>42</v>
      </c>
      <c r="I25" s="2">
        <v>31662</v>
      </c>
      <c r="P25" s="1"/>
      <c r="Q25" s="1"/>
    </row>
    <row r="26" spans="1:17" x14ac:dyDescent="0.25">
      <c r="A26" s="4">
        <v>44546</v>
      </c>
      <c r="B26" t="s">
        <v>44</v>
      </c>
      <c r="C26" t="s">
        <v>18</v>
      </c>
      <c r="D26">
        <v>3</v>
      </c>
      <c r="E26">
        <v>1</v>
      </c>
      <c r="H26">
        <v>55</v>
      </c>
      <c r="I26" s="2">
        <v>2000</v>
      </c>
      <c r="P26" s="1"/>
      <c r="Q26" s="1"/>
    </row>
    <row r="27" spans="1:17" x14ac:dyDescent="0.25">
      <c r="A27" s="4">
        <v>44550</v>
      </c>
      <c r="B27" t="s">
        <v>44</v>
      </c>
      <c r="C27" t="s">
        <v>18</v>
      </c>
      <c r="D27">
        <v>4</v>
      </c>
      <c r="E27">
        <v>3</v>
      </c>
      <c r="F27">
        <v>2.1</v>
      </c>
      <c r="G27">
        <v>2.7</v>
      </c>
      <c r="H27">
        <v>48</v>
      </c>
      <c r="I27" s="2">
        <v>18851</v>
      </c>
      <c r="Q27" s="1"/>
    </row>
    <row r="28" spans="1:17" x14ac:dyDescent="0.25">
      <c r="A28" s="4">
        <v>44561</v>
      </c>
      <c r="B28" t="s">
        <v>43</v>
      </c>
      <c r="C28" t="s">
        <v>19</v>
      </c>
      <c r="D28">
        <v>1</v>
      </c>
      <c r="E28">
        <v>2</v>
      </c>
      <c r="F28">
        <v>0.7</v>
      </c>
      <c r="G28">
        <v>2</v>
      </c>
      <c r="H28">
        <v>37</v>
      </c>
      <c r="I28" s="2">
        <v>29566</v>
      </c>
      <c r="P28" s="1"/>
      <c r="Q28" s="1"/>
    </row>
    <row r="29" spans="1:17" x14ac:dyDescent="0.25">
      <c r="A29" s="4">
        <v>44566</v>
      </c>
      <c r="B29" t="s">
        <v>44</v>
      </c>
      <c r="C29" t="s">
        <v>18</v>
      </c>
      <c r="D29">
        <v>2</v>
      </c>
      <c r="E29">
        <v>1</v>
      </c>
      <c r="H29">
        <v>36</v>
      </c>
      <c r="I29" s="2">
        <v>10773</v>
      </c>
      <c r="P29" s="1"/>
    </row>
    <row r="30" spans="1:17" x14ac:dyDescent="0.25">
      <c r="A30" s="4">
        <v>44569</v>
      </c>
      <c r="B30" t="s">
        <v>44</v>
      </c>
      <c r="C30" t="s">
        <v>19</v>
      </c>
      <c r="D30">
        <v>1</v>
      </c>
      <c r="E30">
        <v>4</v>
      </c>
      <c r="F30">
        <v>1.3</v>
      </c>
      <c r="G30">
        <v>3.9</v>
      </c>
      <c r="H30">
        <v>33</v>
      </c>
      <c r="I30" s="2">
        <v>40617</v>
      </c>
      <c r="P30" s="1"/>
      <c r="Q30" s="1"/>
    </row>
    <row r="31" spans="1:17" x14ac:dyDescent="0.25">
      <c r="A31" s="4">
        <v>44577</v>
      </c>
      <c r="B31" t="s">
        <v>44</v>
      </c>
      <c r="C31" t="s">
        <v>18</v>
      </c>
      <c r="D31">
        <v>1</v>
      </c>
      <c r="E31">
        <v>0</v>
      </c>
      <c r="H31">
        <v>40</v>
      </c>
      <c r="I31" s="2">
        <v>6000</v>
      </c>
      <c r="Q31" s="1"/>
    </row>
    <row r="32" spans="1:17" x14ac:dyDescent="0.25">
      <c r="A32" s="4">
        <v>44580</v>
      </c>
      <c r="B32" t="s">
        <v>43</v>
      </c>
      <c r="C32" t="s">
        <v>4</v>
      </c>
      <c r="D32">
        <v>1</v>
      </c>
      <c r="E32">
        <v>1</v>
      </c>
      <c r="F32">
        <v>0.5</v>
      </c>
      <c r="G32">
        <v>0.9</v>
      </c>
      <c r="H32">
        <v>33</v>
      </c>
      <c r="I32" s="2">
        <v>26049</v>
      </c>
      <c r="P32" s="1"/>
      <c r="Q32" s="1"/>
    </row>
    <row r="33" spans="1:17" x14ac:dyDescent="0.25">
      <c r="A33" s="4">
        <v>44583</v>
      </c>
      <c r="B33" t="s">
        <v>44</v>
      </c>
      <c r="C33" t="s">
        <v>19</v>
      </c>
      <c r="D33">
        <v>2</v>
      </c>
      <c r="E33">
        <v>3</v>
      </c>
      <c r="F33">
        <v>0.7</v>
      </c>
      <c r="G33">
        <v>2.5</v>
      </c>
      <c r="H33">
        <v>36</v>
      </c>
      <c r="I33" s="2">
        <v>44999</v>
      </c>
      <c r="P33" s="1"/>
      <c r="Q33" s="1"/>
    </row>
    <row r="34" spans="1:17" x14ac:dyDescent="0.25">
      <c r="A34" s="4">
        <v>44594</v>
      </c>
      <c r="B34" t="s">
        <v>43</v>
      </c>
      <c r="C34" t="s">
        <v>18</v>
      </c>
      <c r="D34">
        <v>2</v>
      </c>
      <c r="E34">
        <v>1</v>
      </c>
      <c r="H34">
        <v>46</v>
      </c>
      <c r="I34" s="2">
        <v>30591</v>
      </c>
      <c r="Q34" s="1"/>
    </row>
    <row r="35" spans="1:17" x14ac:dyDescent="0.25">
      <c r="A35" s="4">
        <v>44598</v>
      </c>
      <c r="B35" t="s">
        <v>43</v>
      </c>
      <c r="C35" t="s">
        <v>4</v>
      </c>
      <c r="D35">
        <v>0</v>
      </c>
      <c r="E35">
        <v>0</v>
      </c>
      <c r="F35">
        <v>1.1000000000000001</v>
      </c>
      <c r="G35">
        <v>0.4</v>
      </c>
      <c r="H35">
        <v>40</v>
      </c>
      <c r="I35" s="2">
        <v>31351</v>
      </c>
      <c r="P35" s="1"/>
      <c r="Q35" s="1"/>
    </row>
    <row r="36" spans="1:17" x14ac:dyDescent="0.25">
      <c r="A36" s="4">
        <v>44602</v>
      </c>
      <c r="B36" t="s">
        <v>44</v>
      </c>
      <c r="C36" t="s">
        <v>4</v>
      </c>
      <c r="D36">
        <v>1</v>
      </c>
      <c r="E36">
        <v>1</v>
      </c>
      <c r="H36">
        <v>44</v>
      </c>
      <c r="I36" s="2">
        <v>42906</v>
      </c>
      <c r="P36" s="1"/>
      <c r="Q36" s="1"/>
    </row>
    <row r="37" spans="1:17" x14ac:dyDescent="0.25">
      <c r="A37" s="4">
        <v>44605</v>
      </c>
      <c r="B37" t="s">
        <v>44</v>
      </c>
      <c r="C37" t="s">
        <v>19</v>
      </c>
      <c r="D37">
        <v>1</v>
      </c>
      <c r="E37">
        <v>2</v>
      </c>
      <c r="F37">
        <v>1.2</v>
      </c>
      <c r="G37">
        <v>1.8</v>
      </c>
      <c r="H37">
        <v>59</v>
      </c>
      <c r="I37" s="2">
        <v>12845</v>
      </c>
      <c r="P37" s="1"/>
    </row>
    <row r="38" spans="1:17" x14ac:dyDescent="0.25">
      <c r="A38" s="4">
        <v>44612</v>
      </c>
      <c r="B38" t="s">
        <v>43</v>
      </c>
      <c r="C38" t="s">
        <v>19</v>
      </c>
      <c r="D38">
        <v>1</v>
      </c>
      <c r="E38">
        <v>4</v>
      </c>
      <c r="F38">
        <v>0.8</v>
      </c>
      <c r="G38">
        <v>2</v>
      </c>
      <c r="H38">
        <v>36</v>
      </c>
      <c r="I38" s="2">
        <v>38315</v>
      </c>
    </row>
    <row r="39" spans="1:17" x14ac:dyDescent="0.25">
      <c r="A39" s="4">
        <v>44618</v>
      </c>
      <c r="B39" t="s">
        <v>44</v>
      </c>
      <c r="C39" t="s">
        <v>18</v>
      </c>
      <c r="D39">
        <v>1</v>
      </c>
      <c r="E39">
        <v>0</v>
      </c>
      <c r="F39">
        <v>0.6</v>
      </c>
      <c r="G39">
        <v>1.8</v>
      </c>
      <c r="H39">
        <v>33</v>
      </c>
      <c r="I39" s="2">
        <v>14417</v>
      </c>
      <c r="P39" s="1"/>
      <c r="Q39" s="1"/>
    </row>
    <row r="40" spans="1:17" x14ac:dyDescent="0.25">
      <c r="A40" s="4">
        <v>44622</v>
      </c>
      <c r="B40" t="s">
        <v>43</v>
      </c>
      <c r="C40" t="s">
        <v>18</v>
      </c>
      <c r="D40">
        <v>1</v>
      </c>
      <c r="E40">
        <v>0</v>
      </c>
      <c r="H40">
        <v>36</v>
      </c>
    </row>
    <row r="41" spans="1:17" x14ac:dyDescent="0.25">
      <c r="A41" s="4">
        <v>44625</v>
      </c>
      <c r="B41" t="s">
        <v>43</v>
      </c>
      <c r="C41" t="s">
        <v>18</v>
      </c>
      <c r="D41">
        <v>3</v>
      </c>
      <c r="E41">
        <v>1</v>
      </c>
      <c r="F41">
        <v>1.6</v>
      </c>
      <c r="G41">
        <v>0.4</v>
      </c>
      <c r="H41">
        <v>52</v>
      </c>
      <c r="I41" s="2">
        <v>31227</v>
      </c>
      <c r="P41" s="1"/>
      <c r="Q41" s="1"/>
    </row>
    <row r="42" spans="1:17" x14ac:dyDescent="0.25">
      <c r="A42" s="4">
        <v>44632</v>
      </c>
      <c r="B42" t="s">
        <v>44</v>
      </c>
      <c r="C42" t="s">
        <v>4</v>
      </c>
      <c r="D42">
        <v>0</v>
      </c>
      <c r="E42">
        <v>0</v>
      </c>
      <c r="F42">
        <v>0.2</v>
      </c>
      <c r="G42">
        <v>0.9</v>
      </c>
      <c r="H42">
        <v>47</v>
      </c>
      <c r="I42" s="2">
        <v>10349</v>
      </c>
      <c r="P42" s="1"/>
      <c r="Q42" s="1"/>
    </row>
    <row r="43" spans="1:17" x14ac:dyDescent="0.25">
      <c r="A43" s="4">
        <v>44639</v>
      </c>
      <c r="B43" t="s">
        <v>44</v>
      </c>
      <c r="C43" t="s">
        <v>18</v>
      </c>
      <c r="D43">
        <v>1</v>
      </c>
      <c r="E43">
        <v>0</v>
      </c>
      <c r="F43">
        <v>0.9</v>
      </c>
      <c r="G43">
        <v>0.6</v>
      </c>
      <c r="H43">
        <v>44</v>
      </c>
      <c r="I43" s="2">
        <v>15780</v>
      </c>
      <c r="P43" s="1"/>
      <c r="Q43" s="1"/>
    </row>
    <row r="44" spans="1:17" x14ac:dyDescent="0.25">
      <c r="A44" s="4">
        <v>44654</v>
      </c>
      <c r="B44" t="s">
        <v>43</v>
      </c>
      <c r="C44" t="s">
        <v>4</v>
      </c>
      <c r="D44">
        <v>0</v>
      </c>
      <c r="E44">
        <v>0</v>
      </c>
      <c r="F44">
        <v>0.2</v>
      </c>
      <c r="G44">
        <v>0.1</v>
      </c>
      <c r="H44">
        <v>51</v>
      </c>
      <c r="I44" s="2">
        <v>32949</v>
      </c>
      <c r="Q44" s="1"/>
    </row>
    <row r="45" spans="1:17" x14ac:dyDescent="0.25">
      <c r="A45" s="4">
        <v>44662</v>
      </c>
      <c r="B45" t="s">
        <v>44</v>
      </c>
      <c r="C45" t="s">
        <v>4</v>
      </c>
      <c r="D45">
        <v>1</v>
      </c>
      <c r="E45">
        <v>1</v>
      </c>
      <c r="F45">
        <v>0.5</v>
      </c>
      <c r="G45">
        <v>0.6</v>
      </c>
      <c r="H45">
        <v>45</v>
      </c>
      <c r="I45" s="2">
        <v>9302</v>
      </c>
      <c r="P45" s="1"/>
      <c r="Q45" s="1"/>
    </row>
    <row r="46" spans="1:17" x14ac:dyDescent="0.25">
      <c r="A46" s="4">
        <v>44667</v>
      </c>
      <c r="B46" t="s">
        <v>43</v>
      </c>
      <c r="C46" t="s">
        <v>19</v>
      </c>
      <c r="D46">
        <v>1</v>
      </c>
      <c r="E46">
        <v>2</v>
      </c>
      <c r="F46">
        <v>1.3</v>
      </c>
      <c r="G46">
        <v>1.1000000000000001</v>
      </c>
      <c r="H46">
        <v>51</v>
      </c>
      <c r="I46" s="2">
        <v>30148</v>
      </c>
    </row>
    <row r="47" spans="1:17" x14ac:dyDescent="0.25">
      <c r="A47" s="4">
        <v>44670</v>
      </c>
      <c r="B47" t="s">
        <v>44</v>
      </c>
      <c r="C47" t="s">
        <v>19</v>
      </c>
      <c r="D47">
        <v>0</v>
      </c>
      <c r="E47">
        <v>2</v>
      </c>
      <c r="F47">
        <v>0.3</v>
      </c>
      <c r="G47">
        <v>2.4</v>
      </c>
      <c r="H47">
        <v>42</v>
      </c>
      <c r="I47" s="2">
        <v>13570</v>
      </c>
      <c r="P47" s="1"/>
      <c r="Q47" s="1"/>
    </row>
    <row r="48" spans="1:17" x14ac:dyDescent="0.25">
      <c r="A48" s="4">
        <v>44674</v>
      </c>
      <c r="B48" t="s">
        <v>44</v>
      </c>
      <c r="C48" t="s">
        <v>4</v>
      </c>
      <c r="D48" t="s">
        <v>278</v>
      </c>
      <c r="E48" t="s">
        <v>257</v>
      </c>
      <c r="H48">
        <v>36</v>
      </c>
      <c r="I48" s="2">
        <v>53387</v>
      </c>
    </row>
    <row r="49" spans="1:17" x14ac:dyDescent="0.25">
      <c r="A49" s="4">
        <v>44681</v>
      </c>
      <c r="B49" t="s">
        <v>43</v>
      </c>
      <c r="C49" t="s">
        <v>4</v>
      </c>
      <c r="D49">
        <v>1</v>
      </c>
      <c r="E49">
        <v>1</v>
      </c>
      <c r="F49">
        <v>0.5</v>
      </c>
      <c r="G49">
        <v>1.3</v>
      </c>
      <c r="H49">
        <v>32</v>
      </c>
      <c r="I49" s="2">
        <v>35099</v>
      </c>
      <c r="P49" s="1"/>
    </row>
    <row r="50" spans="1:17" x14ac:dyDescent="0.25">
      <c r="A50" s="4">
        <v>44688</v>
      </c>
      <c r="B50" t="s">
        <v>44</v>
      </c>
      <c r="C50" t="s">
        <v>4</v>
      </c>
      <c r="D50">
        <v>0</v>
      </c>
      <c r="E50">
        <v>0</v>
      </c>
      <c r="F50">
        <v>0.1</v>
      </c>
      <c r="G50">
        <v>1.3</v>
      </c>
      <c r="H50">
        <v>41</v>
      </c>
      <c r="I50" s="2">
        <v>41091</v>
      </c>
      <c r="P50" s="1"/>
      <c r="Q50" s="1"/>
    </row>
    <row r="51" spans="1:17" x14ac:dyDescent="0.25">
      <c r="A51" s="4">
        <v>44691</v>
      </c>
      <c r="B51" t="s">
        <v>43</v>
      </c>
      <c r="C51" t="s">
        <v>19</v>
      </c>
      <c r="D51">
        <v>0</v>
      </c>
      <c r="E51">
        <v>3</v>
      </c>
      <c r="F51">
        <v>1.2</v>
      </c>
      <c r="G51">
        <v>1.6</v>
      </c>
      <c r="H51">
        <v>45</v>
      </c>
      <c r="I51" s="2">
        <v>28091</v>
      </c>
      <c r="P51" s="1"/>
      <c r="Q51" s="1"/>
    </row>
    <row r="52" spans="1:17" x14ac:dyDescent="0.25">
      <c r="A52" s="4">
        <v>44695</v>
      </c>
      <c r="B52" t="s">
        <v>44</v>
      </c>
      <c r="C52" t="s">
        <v>4</v>
      </c>
      <c r="D52">
        <v>1</v>
      </c>
      <c r="E52">
        <v>1</v>
      </c>
      <c r="F52">
        <v>1.6</v>
      </c>
      <c r="G52">
        <v>0.7</v>
      </c>
      <c r="H52">
        <v>52</v>
      </c>
      <c r="I52" s="2">
        <v>14990</v>
      </c>
      <c r="P52" s="1"/>
    </row>
    <row r="53" spans="1:17" x14ac:dyDescent="0.25">
      <c r="A53" s="4">
        <v>44702</v>
      </c>
      <c r="B53" t="s">
        <v>43</v>
      </c>
      <c r="C53" t="s">
        <v>18</v>
      </c>
      <c r="D53">
        <v>2</v>
      </c>
      <c r="E53">
        <v>0</v>
      </c>
      <c r="F53">
        <v>1.5</v>
      </c>
      <c r="G53">
        <v>0.9</v>
      </c>
      <c r="H53">
        <v>45</v>
      </c>
      <c r="I53" s="2">
        <v>16189</v>
      </c>
      <c r="P53" s="1"/>
      <c r="Q53" s="1"/>
    </row>
    <row r="54" spans="1:17" x14ac:dyDescent="0.25">
      <c r="P54" s="1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823D8-EDFA-4229-A68A-7B13A0A9C281}">
  <dimension ref="A1:Q49"/>
  <sheetViews>
    <sheetView topLeftCell="A6" workbookViewId="0">
      <selection activeCell="P10" sqref="P10"/>
    </sheetView>
  </sheetViews>
  <sheetFormatPr defaultRowHeight="15" x14ac:dyDescent="0.25"/>
  <cols>
    <col min="1" max="1" width="10.7109375" style="4" customWidth="1"/>
  </cols>
  <sheetData>
    <row r="1" spans="1:17" x14ac:dyDescent="0.25">
      <c r="A1" s="4" t="s">
        <v>133</v>
      </c>
    </row>
    <row r="2" spans="1:17" x14ac:dyDescent="0.25">
      <c r="A2" s="4" t="s">
        <v>134</v>
      </c>
    </row>
    <row r="3" spans="1:17" x14ac:dyDescent="0.25">
      <c r="A3" s="4" t="s">
        <v>135</v>
      </c>
    </row>
    <row r="4" spans="1:17" x14ac:dyDescent="0.25">
      <c r="A4" s="4" t="s">
        <v>136</v>
      </c>
    </row>
    <row r="6" spans="1:17" x14ac:dyDescent="0.25">
      <c r="A6" s="4" t="s">
        <v>568</v>
      </c>
    </row>
    <row r="7" spans="1:17" x14ac:dyDescent="0.25">
      <c r="A7" s="4" t="s">
        <v>0</v>
      </c>
      <c r="B7" t="s">
        <v>52</v>
      </c>
      <c r="C7" t="s">
        <v>53</v>
      </c>
      <c r="D7" t="s">
        <v>54</v>
      </c>
      <c r="E7" t="s">
        <v>20</v>
      </c>
      <c r="F7" t="s">
        <v>21</v>
      </c>
      <c r="G7" t="s">
        <v>55</v>
      </c>
      <c r="H7" t="s">
        <v>56</v>
      </c>
      <c r="I7" t="s">
        <v>57</v>
      </c>
      <c r="J7" t="s">
        <v>24</v>
      </c>
    </row>
    <row r="8" spans="1:17" s="24" customFormat="1" x14ac:dyDescent="0.25">
      <c r="A8" s="23">
        <v>44787</v>
      </c>
      <c r="B8" s="24" t="s">
        <v>62</v>
      </c>
      <c r="C8" s="24" t="s">
        <v>43</v>
      </c>
      <c r="D8" s="24" t="s">
        <v>18</v>
      </c>
      <c r="E8" s="24">
        <v>1</v>
      </c>
      <c r="F8" s="24">
        <v>0</v>
      </c>
      <c r="G8" s="24">
        <v>1.6</v>
      </c>
      <c r="H8" s="24">
        <v>0.1</v>
      </c>
      <c r="I8" s="24">
        <v>46</v>
      </c>
      <c r="J8" s="26">
        <v>39359</v>
      </c>
      <c r="P8" s="25"/>
      <c r="Q8" s="25"/>
    </row>
    <row r="9" spans="1:17" x14ac:dyDescent="0.25">
      <c r="A9" s="4">
        <v>44794</v>
      </c>
      <c r="B9" t="s">
        <v>62</v>
      </c>
      <c r="C9" t="s">
        <v>44</v>
      </c>
      <c r="D9" t="s">
        <v>19</v>
      </c>
      <c r="E9">
        <v>0</v>
      </c>
      <c r="F9">
        <v>1</v>
      </c>
      <c r="G9">
        <v>0.7</v>
      </c>
      <c r="H9">
        <v>1</v>
      </c>
      <c r="I9">
        <v>62</v>
      </c>
      <c r="J9" s="2">
        <v>43333</v>
      </c>
      <c r="P9" s="1"/>
    </row>
    <row r="10" spans="1:17" x14ac:dyDescent="0.25">
      <c r="A10" s="4">
        <v>44802</v>
      </c>
      <c r="B10" t="s">
        <v>117</v>
      </c>
      <c r="C10" t="s">
        <v>43</v>
      </c>
      <c r="D10" t="s">
        <v>19</v>
      </c>
      <c r="E10">
        <v>0</v>
      </c>
      <c r="F10">
        <v>1</v>
      </c>
      <c r="G10">
        <v>0.5</v>
      </c>
      <c r="H10">
        <v>1.5</v>
      </c>
      <c r="I10">
        <v>69</v>
      </c>
      <c r="J10" s="2">
        <v>43910</v>
      </c>
      <c r="Q10" s="1"/>
    </row>
    <row r="11" spans="1:17" x14ac:dyDescent="0.25">
      <c r="A11" s="4">
        <v>44808</v>
      </c>
      <c r="B11" t="s">
        <v>62</v>
      </c>
      <c r="C11" t="s">
        <v>43</v>
      </c>
      <c r="D11" t="s">
        <v>18</v>
      </c>
      <c r="E11">
        <v>5</v>
      </c>
      <c r="F11">
        <v>1</v>
      </c>
      <c r="G11">
        <v>2.2999999999999998</v>
      </c>
      <c r="H11">
        <v>0.2</v>
      </c>
      <c r="I11">
        <v>69</v>
      </c>
      <c r="J11" s="2">
        <v>38725</v>
      </c>
      <c r="P11" s="1"/>
      <c r="Q11" s="1"/>
    </row>
    <row r="12" spans="1:17" x14ac:dyDescent="0.25">
      <c r="A12" s="4">
        <v>44814</v>
      </c>
      <c r="B12" t="s">
        <v>64</v>
      </c>
      <c r="C12" t="s">
        <v>44</v>
      </c>
      <c r="D12" t="s">
        <v>19</v>
      </c>
      <c r="E12">
        <v>1</v>
      </c>
      <c r="F12">
        <v>2</v>
      </c>
      <c r="G12">
        <v>1.7</v>
      </c>
      <c r="H12">
        <v>1.7</v>
      </c>
      <c r="I12">
        <v>54</v>
      </c>
      <c r="J12" s="2">
        <v>12085</v>
      </c>
    </row>
    <row r="13" spans="1:17" x14ac:dyDescent="0.25">
      <c r="A13" s="4">
        <v>44821</v>
      </c>
      <c r="B13" t="s">
        <v>64</v>
      </c>
      <c r="C13" t="s">
        <v>43</v>
      </c>
      <c r="D13" t="s">
        <v>18</v>
      </c>
      <c r="E13">
        <v>3</v>
      </c>
      <c r="F13">
        <v>0</v>
      </c>
      <c r="G13">
        <v>1.7</v>
      </c>
      <c r="H13">
        <v>0.5</v>
      </c>
      <c r="I13">
        <v>65</v>
      </c>
      <c r="J13" s="2">
        <v>40965</v>
      </c>
      <c r="P13" s="1"/>
    </row>
    <row r="14" spans="1:17" x14ac:dyDescent="0.25">
      <c r="A14" s="4">
        <v>44836</v>
      </c>
      <c r="B14" t="s">
        <v>62</v>
      </c>
      <c r="C14" t="s">
        <v>44</v>
      </c>
      <c r="D14" t="s">
        <v>4</v>
      </c>
      <c r="E14">
        <v>2</v>
      </c>
      <c r="F14">
        <v>2</v>
      </c>
      <c r="G14">
        <v>1.1000000000000001</v>
      </c>
      <c r="H14">
        <v>0.8</v>
      </c>
      <c r="I14">
        <v>62</v>
      </c>
      <c r="J14" s="2">
        <v>19766</v>
      </c>
      <c r="P14" s="1"/>
    </row>
    <row r="15" spans="1:17" x14ac:dyDescent="0.25">
      <c r="A15" s="4">
        <v>44841</v>
      </c>
      <c r="B15" t="s">
        <v>60</v>
      </c>
      <c r="C15" t="s">
        <v>44</v>
      </c>
      <c r="D15" t="s">
        <v>18</v>
      </c>
      <c r="E15">
        <v>2</v>
      </c>
      <c r="F15">
        <v>1</v>
      </c>
      <c r="G15">
        <v>2.1</v>
      </c>
      <c r="H15">
        <v>1.6</v>
      </c>
      <c r="I15">
        <v>56</v>
      </c>
      <c r="J15" s="2">
        <v>20260</v>
      </c>
      <c r="P15" s="1"/>
      <c r="Q15" s="1"/>
    </row>
    <row r="16" spans="1:17" x14ac:dyDescent="0.25">
      <c r="A16" s="4">
        <v>44849</v>
      </c>
      <c r="B16" t="s">
        <v>64</v>
      </c>
      <c r="C16" t="s">
        <v>43</v>
      </c>
      <c r="D16" t="s">
        <v>4</v>
      </c>
      <c r="E16">
        <v>2</v>
      </c>
      <c r="F16">
        <v>2</v>
      </c>
      <c r="G16">
        <v>2.7</v>
      </c>
      <c r="H16">
        <v>1.7</v>
      </c>
      <c r="I16">
        <v>60</v>
      </c>
      <c r="J16" s="2">
        <v>41805</v>
      </c>
      <c r="P16" s="1"/>
      <c r="Q16" s="1"/>
    </row>
    <row r="17" spans="1:17" x14ac:dyDescent="0.25">
      <c r="A17" s="4">
        <v>44852</v>
      </c>
      <c r="B17" t="s">
        <v>69</v>
      </c>
      <c r="C17" t="s">
        <v>44</v>
      </c>
      <c r="D17" t="s">
        <v>4</v>
      </c>
      <c r="E17">
        <v>1</v>
      </c>
      <c r="F17">
        <v>1</v>
      </c>
      <c r="G17">
        <v>1.8</v>
      </c>
      <c r="H17">
        <v>1.1000000000000001</v>
      </c>
      <c r="I17">
        <v>36</v>
      </c>
      <c r="J17" s="2">
        <v>37353</v>
      </c>
      <c r="P17" s="1"/>
      <c r="Q17" s="1"/>
    </row>
    <row r="18" spans="1:17" x14ac:dyDescent="0.25">
      <c r="A18" s="4">
        <v>44856</v>
      </c>
      <c r="B18" t="s">
        <v>64</v>
      </c>
      <c r="C18" t="s">
        <v>43</v>
      </c>
      <c r="D18" t="s">
        <v>19</v>
      </c>
      <c r="E18">
        <v>1</v>
      </c>
      <c r="F18">
        <v>2</v>
      </c>
      <c r="G18">
        <v>1.2</v>
      </c>
      <c r="H18">
        <v>1.5</v>
      </c>
      <c r="I18">
        <v>67</v>
      </c>
      <c r="J18" s="2">
        <v>41199</v>
      </c>
      <c r="P18" s="1"/>
      <c r="Q18" s="1"/>
    </row>
    <row r="19" spans="1:17" x14ac:dyDescent="0.25">
      <c r="A19" s="4">
        <v>44863</v>
      </c>
      <c r="B19" t="s">
        <v>64</v>
      </c>
      <c r="C19" t="s">
        <v>43</v>
      </c>
      <c r="D19" t="s">
        <v>19</v>
      </c>
      <c r="E19">
        <v>0</v>
      </c>
      <c r="F19">
        <v>1</v>
      </c>
      <c r="G19">
        <v>0.2</v>
      </c>
      <c r="H19">
        <v>1.6</v>
      </c>
      <c r="I19">
        <v>33</v>
      </c>
      <c r="J19" s="2">
        <v>46007</v>
      </c>
      <c r="P19" s="1"/>
      <c r="Q19" s="1"/>
    </row>
    <row r="20" spans="1:17" x14ac:dyDescent="0.25">
      <c r="A20" s="4">
        <v>44871</v>
      </c>
      <c r="B20" t="s">
        <v>62</v>
      </c>
      <c r="C20" t="s">
        <v>44</v>
      </c>
      <c r="D20" t="s">
        <v>4</v>
      </c>
      <c r="E20">
        <v>1</v>
      </c>
      <c r="F20">
        <v>1</v>
      </c>
      <c r="G20">
        <v>0.9</v>
      </c>
      <c r="H20">
        <v>1.1000000000000001</v>
      </c>
      <c r="I20">
        <v>71</v>
      </c>
      <c r="J20" s="2">
        <v>32773</v>
      </c>
      <c r="P20" s="1"/>
    </row>
    <row r="21" spans="1:17" x14ac:dyDescent="0.25">
      <c r="A21" s="4">
        <v>44875</v>
      </c>
      <c r="B21" t="s">
        <v>85</v>
      </c>
      <c r="C21" t="s">
        <v>43</v>
      </c>
      <c r="D21" t="s">
        <v>18</v>
      </c>
      <c r="E21">
        <v>3</v>
      </c>
      <c r="F21">
        <v>0</v>
      </c>
      <c r="G21">
        <v>2</v>
      </c>
      <c r="H21">
        <v>0.2</v>
      </c>
      <c r="I21">
        <v>62</v>
      </c>
      <c r="J21" s="2">
        <v>39876</v>
      </c>
      <c r="P21" s="1"/>
    </row>
    <row r="22" spans="1:17" x14ac:dyDescent="0.25">
      <c r="A22" s="4">
        <v>44926</v>
      </c>
      <c r="B22" t="s">
        <v>64</v>
      </c>
      <c r="C22" t="s">
        <v>44</v>
      </c>
      <c r="D22" t="s">
        <v>19</v>
      </c>
      <c r="E22">
        <v>1</v>
      </c>
      <c r="F22">
        <v>2</v>
      </c>
      <c r="G22">
        <v>1.4</v>
      </c>
      <c r="H22">
        <v>2.5</v>
      </c>
      <c r="I22">
        <v>48</v>
      </c>
      <c r="J22" s="2">
        <v>19247</v>
      </c>
      <c r="P22" s="1"/>
      <c r="Q22" s="1"/>
    </row>
    <row r="23" spans="1:17" x14ac:dyDescent="0.25">
      <c r="A23" s="4">
        <v>44929</v>
      </c>
      <c r="B23" t="s">
        <v>69</v>
      </c>
      <c r="C23" t="s">
        <v>44</v>
      </c>
      <c r="D23" t="s">
        <v>18</v>
      </c>
      <c r="E23">
        <v>3</v>
      </c>
      <c r="F23">
        <v>0</v>
      </c>
      <c r="I23">
        <v>58</v>
      </c>
      <c r="J23" s="2">
        <v>7000</v>
      </c>
      <c r="P23" s="1"/>
    </row>
    <row r="24" spans="1:17" x14ac:dyDescent="0.25">
      <c r="A24" s="4">
        <v>44932</v>
      </c>
      <c r="B24" t="s">
        <v>60</v>
      </c>
      <c r="C24" t="s">
        <v>43</v>
      </c>
      <c r="D24" t="s">
        <v>19</v>
      </c>
      <c r="E24">
        <v>0</v>
      </c>
      <c r="F24">
        <v>1</v>
      </c>
      <c r="G24">
        <v>0.4</v>
      </c>
      <c r="H24">
        <v>0.4</v>
      </c>
      <c r="I24">
        <v>73</v>
      </c>
      <c r="J24" s="2">
        <v>39003</v>
      </c>
      <c r="P24" s="1"/>
    </row>
    <row r="25" spans="1:17" x14ac:dyDescent="0.25">
      <c r="A25" s="4">
        <v>44937</v>
      </c>
      <c r="B25" t="s">
        <v>92</v>
      </c>
      <c r="C25" t="s">
        <v>44</v>
      </c>
      <c r="D25" t="s">
        <v>4</v>
      </c>
      <c r="E25" t="s">
        <v>164</v>
      </c>
      <c r="F25" t="s">
        <v>278</v>
      </c>
      <c r="I25">
        <v>42</v>
      </c>
      <c r="J25" s="2">
        <v>50492</v>
      </c>
      <c r="P25" s="1"/>
      <c r="Q25" s="1"/>
    </row>
    <row r="26" spans="1:17" x14ac:dyDescent="0.25">
      <c r="A26" s="4">
        <v>44944</v>
      </c>
      <c r="B26" t="s">
        <v>92</v>
      </c>
      <c r="C26" t="s">
        <v>44</v>
      </c>
      <c r="D26" t="s">
        <v>18</v>
      </c>
      <c r="E26">
        <v>4</v>
      </c>
      <c r="F26">
        <v>0</v>
      </c>
      <c r="I26">
        <v>55</v>
      </c>
      <c r="J26" s="2">
        <v>14625</v>
      </c>
      <c r="P26" s="1"/>
      <c r="Q26" s="1"/>
    </row>
    <row r="27" spans="1:17" x14ac:dyDescent="0.25">
      <c r="A27" s="4">
        <v>44949</v>
      </c>
      <c r="B27" t="s">
        <v>117</v>
      </c>
      <c r="C27" t="s">
        <v>43</v>
      </c>
      <c r="D27" t="s">
        <v>4</v>
      </c>
      <c r="E27">
        <v>2</v>
      </c>
      <c r="F27">
        <v>2</v>
      </c>
      <c r="G27">
        <v>1.9</v>
      </c>
      <c r="H27">
        <v>1.4</v>
      </c>
      <c r="I27">
        <v>57</v>
      </c>
      <c r="J27" s="2">
        <v>33442</v>
      </c>
      <c r="P27" s="1"/>
      <c r="Q27" s="1"/>
    </row>
    <row r="28" spans="1:17" x14ac:dyDescent="0.25">
      <c r="A28" s="4">
        <v>44952</v>
      </c>
      <c r="B28" t="s">
        <v>85</v>
      </c>
      <c r="C28" t="s">
        <v>43</v>
      </c>
      <c r="D28" t="s">
        <v>19</v>
      </c>
      <c r="E28">
        <v>1</v>
      </c>
      <c r="F28">
        <v>3</v>
      </c>
      <c r="I28">
        <v>53</v>
      </c>
      <c r="J28" s="2">
        <v>45040</v>
      </c>
      <c r="P28" s="1"/>
    </row>
    <row r="29" spans="1:17" s="28" customFormat="1" x14ac:dyDescent="0.25">
      <c r="A29" s="27">
        <v>44955</v>
      </c>
      <c r="B29" s="28" t="s">
        <v>62</v>
      </c>
      <c r="C29" s="28" t="s">
        <v>44</v>
      </c>
      <c r="D29" s="28" t="s">
        <v>19</v>
      </c>
      <c r="E29" s="28">
        <v>0</v>
      </c>
      <c r="F29" s="28">
        <v>1</v>
      </c>
      <c r="G29" s="28">
        <v>1.2</v>
      </c>
      <c r="H29" s="28">
        <v>1.5</v>
      </c>
      <c r="I29" s="28">
        <v>48</v>
      </c>
      <c r="J29" s="29">
        <v>19675</v>
      </c>
      <c r="P29" s="30"/>
      <c r="Q29" s="30"/>
    </row>
    <row r="30" spans="1:17" s="32" customFormat="1" x14ac:dyDescent="0.25">
      <c r="A30" s="31">
        <v>44959</v>
      </c>
      <c r="B30" s="32" t="s">
        <v>85</v>
      </c>
      <c r="C30" s="32" t="s">
        <v>44</v>
      </c>
      <c r="D30" s="32" t="s">
        <v>19</v>
      </c>
      <c r="E30" s="32">
        <v>0</v>
      </c>
      <c r="F30" s="32">
        <v>2</v>
      </c>
      <c r="G30" s="32">
        <v>0.2</v>
      </c>
      <c r="H30" s="32">
        <v>2.2999999999999998</v>
      </c>
      <c r="I30" s="32">
        <v>30</v>
      </c>
      <c r="J30" s="33">
        <v>51926</v>
      </c>
      <c r="P30" s="34"/>
      <c r="Q30" s="34"/>
    </row>
    <row r="31" spans="1:17" x14ac:dyDescent="0.25">
      <c r="A31" s="4">
        <v>44962</v>
      </c>
      <c r="B31" t="s">
        <v>62</v>
      </c>
      <c r="C31" t="s">
        <v>44</v>
      </c>
      <c r="D31" t="s">
        <v>19</v>
      </c>
      <c r="E31">
        <v>0</v>
      </c>
      <c r="F31">
        <v>1</v>
      </c>
      <c r="G31">
        <v>1</v>
      </c>
      <c r="H31">
        <v>2.2999999999999998</v>
      </c>
      <c r="I31">
        <v>49</v>
      </c>
      <c r="J31" s="2">
        <v>10732</v>
      </c>
      <c r="Q31" s="1"/>
    </row>
    <row r="32" spans="1:17" x14ac:dyDescent="0.25">
      <c r="A32" s="4">
        <v>44968</v>
      </c>
      <c r="B32" t="s">
        <v>64</v>
      </c>
      <c r="C32" t="s">
        <v>43</v>
      </c>
      <c r="D32" t="s">
        <v>19</v>
      </c>
      <c r="E32">
        <v>1</v>
      </c>
      <c r="F32">
        <v>2</v>
      </c>
      <c r="G32">
        <v>1.6</v>
      </c>
      <c r="H32">
        <v>1.5</v>
      </c>
      <c r="I32">
        <v>49</v>
      </c>
      <c r="J32" s="2">
        <v>36688</v>
      </c>
      <c r="P32" s="1"/>
    </row>
    <row r="33" spans="1:17" x14ac:dyDescent="0.25">
      <c r="A33" s="4">
        <v>44977</v>
      </c>
      <c r="B33" t="s">
        <v>117</v>
      </c>
      <c r="C33" t="s">
        <v>44</v>
      </c>
      <c r="D33" t="s">
        <v>19</v>
      </c>
      <c r="E33">
        <v>0</v>
      </c>
      <c r="F33">
        <v>1</v>
      </c>
      <c r="G33">
        <v>1</v>
      </c>
      <c r="H33">
        <v>1.8</v>
      </c>
      <c r="I33">
        <v>54</v>
      </c>
      <c r="J33" s="2">
        <v>10112</v>
      </c>
      <c r="P33" s="1"/>
      <c r="Q33" s="1"/>
    </row>
    <row r="34" spans="1:17" x14ac:dyDescent="0.25">
      <c r="A34" s="4">
        <v>44982</v>
      </c>
      <c r="B34" t="s">
        <v>64</v>
      </c>
      <c r="C34" t="s">
        <v>43</v>
      </c>
      <c r="D34" t="s">
        <v>18</v>
      </c>
      <c r="E34">
        <v>1</v>
      </c>
      <c r="F34">
        <v>0</v>
      </c>
      <c r="G34">
        <v>0.5</v>
      </c>
      <c r="H34">
        <v>0.7</v>
      </c>
      <c r="I34">
        <v>38</v>
      </c>
      <c r="J34" s="2">
        <v>37465</v>
      </c>
      <c r="P34" s="1"/>
    </row>
    <row r="35" spans="1:17" x14ac:dyDescent="0.25">
      <c r="A35" s="4">
        <v>44990</v>
      </c>
      <c r="B35" t="s">
        <v>62</v>
      </c>
      <c r="C35" t="s">
        <v>44</v>
      </c>
      <c r="D35" t="s">
        <v>19</v>
      </c>
      <c r="E35">
        <v>0</v>
      </c>
      <c r="F35">
        <v>1</v>
      </c>
      <c r="G35">
        <v>1</v>
      </c>
      <c r="H35">
        <v>1.8</v>
      </c>
      <c r="I35">
        <v>47</v>
      </c>
      <c r="J35" s="2">
        <v>89644</v>
      </c>
      <c r="P35" s="1"/>
      <c r="Q35" s="1"/>
    </row>
    <row r="36" spans="1:17" x14ac:dyDescent="0.25">
      <c r="A36" s="4">
        <v>44996</v>
      </c>
      <c r="B36" t="s">
        <v>64</v>
      </c>
      <c r="C36" t="s">
        <v>43</v>
      </c>
      <c r="D36" t="s">
        <v>18</v>
      </c>
      <c r="E36">
        <v>1</v>
      </c>
      <c r="F36">
        <v>0</v>
      </c>
      <c r="G36">
        <v>1.7</v>
      </c>
      <c r="H36">
        <v>0.3</v>
      </c>
      <c r="I36">
        <v>55</v>
      </c>
      <c r="J36" s="2">
        <v>37762</v>
      </c>
      <c r="P36" s="1"/>
      <c r="Q36" s="1"/>
    </row>
    <row r="37" spans="1:17" x14ac:dyDescent="0.25">
      <c r="A37" s="4">
        <v>45003</v>
      </c>
      <c r="B37" t="s">
        <v>64</v>
      </c>
      <c r="C37" t="s">
        <v>44</v>
      </c>
      <c r="D37" t="s">
        <v>19</v>
      </c>
      <c r="E37">
        <v>0</v>
      </c>
      <c r="F37">
        <v>3</v>
      </c>
      <c r="G37">
        <v>1</v>
      </c>
      <c r="H37">
        <v>1.9</v>
      </c>
      <c r="I37">
        <v>44</v>
      </c>
      <c r="J37" s="2">
        <v>58317</v>
      </c>
      <c r="P37" s="1"/>
      <c r="Q37" s="1"/>
    </row>
    <row r="38" spans="1:17" x14ac:dyDescent="0.25">
      <c r="A38" s="4">
        <v>45019</v>
      </c>
      <c r="B38" t="s">
        <v>117</v>
      </c>
      <c r="C38" t="s">
        <v>43</v>
      </c>
      <c r="D38" t="s">
        <v>4</v>
      </c>
      <c r="E38">
        <v>1</v>
      </c>
      <c r="F38">
        <v>1</v>
      </c>
      <c r="G38">
        <v>2.2999999999999998</v>
      </c>
      <c r="H38">
        <v>0.8</v>
      </c>
      <c r="I38">
        <v>61</v>
      </c>
      <c r="J38" s="2">
        <v>39769</v>
      </c>
    </row>
    <row r="39" spans="1:17" x14ac:dyDescent="0.25">
      <c r="A39" s="4">
        <v>45025</v>
      </c>
      <c r="B39" t="s">
        <v>62</v>
      </c>
      <c r="C39" t="s">
        <v>44</v>
      </c>
      <c r="D39" t="s">
        <v>19</v>
      </c>
      <c r="E39">
        <v>1</v>
      </c>
      <c r="F39">
        <v>2</v>
      </c>
      <c r="G39">
        <v>1.3</v>
      </c>
      <c r="H39">
        <v>0.9</v>
      </c>
      <c r="I39">
        <v>60</v>
      </c>
      <c r="J39" s="2">
        <v>14309</v>
      </c>
      <c r="P39" s="1"/>
    </row>
    <row r="40" spans="1:17" x14ac:dyDescent="0.25">
      <c r="A40" s="4">
        <v>45032</v>
      </c>
      <c r="B40" t="s">
        <v>62</v>
      </c>
      <c r="C40" t="s">
        <v>43</v>
      </c>
      <c r="D40" t="s">
        <v>19</v>
      </c>
      <c r="E40">
        <v>0</v>
      </c>
      <c r="F40">
        <v>2</v>
      </c>
      <c r="G40">
        <v>0.4</v>
      </c>
      <c r="H40">
        <v>0.4</v>
      </c>
      <c r="I40">
        <v>60</v>
      </c>
      <c r="J40" s="2">
        <v>39654</v>
      </c>
      <c r="P40" s="1"/>
    </row>
    <row r="41" spans="1:17" x14ac:dyDescent="0.25">
      <c r="A41" s="4">
        <v>45039</v>
      </c>
      <c r="B41" t="s">
        <v>62</v>
      </c>
      <c r="C41" t="s">
        <v>44</v>
      </c>
      <c r="D41" t="s">
        <v>18</v>
      </c>
      <c r="E41">
        <v>2</v>
      </c>
      <c r="F41">
        <v>0</v>
      </c>
      <c r="G41">
        <v>1</v>
      </c>
      <c r="H41">
        <v>0.6</v>
      </c>
      <c r="I41">
        <v>35</v>
      </c>
      <c r="J41" s="2">
        <v>22129</v>
      </c>
      <c r="P41" s="1"/>
    </row>
    <row r="42" spans="1:17" x14ac:dyDescent="0.25">
      <c r="A42" s="4">
        <v>45043</v>
      </c>
      <c r="B42" t="s">
        <v>85</v>
      </c>
      <c r="C42" t="s">
        <v>43</v>
      </c>
      <c r="D42" t="s">
        <v>18</v>
      </c>
      <c r="E42">
        <v>2</v>
      </c>
      <c r="F42">
        <v>1</v>
      </c>
      <c r="G42">
        <v>0.9</v>
      </c>
      <c r="H42">
        <v>0.9</v>
      </c>
      <c r="I42">
        <v>49</v>
      </c>
      <c r="J42" s="2">
        <v>42023</v>
      </c>
      <c r="P42" s="1"/>
      <c r="Q42" s="1"/>
    </row>
    <row r="43" spans="1:17" x14ac:dyDescent="0.25">
      <c r="A43" s="4">
        <v>45046</v>
      </c>
      <c r="B43" t="s">
        <v>62</v>
      </c>
      <c r="C43" t="s">
        <v>44</v>
      </c>
      <c r="D43" t="s">
        <v>19</v>
      </c>
      <c r="E43">
        <v>1</v>
      </c>
      <c r="F43">
        <v>2</v>
      </c>
      <c r="G43">
        <v>1.3</v>
      </c>
      <c r="H43">
        <v>1.8</v>
      </c>
      <c r="I43">
        <v>61</v>
      </c>
      <c r="J43" s="2">
        <v>18650</v>
      </c>
      <c r="P43" s="1"/>
      <c r="Q43" s="1"/>
    </row>
    <row r="44" spans="1:17" x14ac:dyDescent="0.25">
      <c r="A44" s="4">
        <v>45049</v>
      </c>
      <c r="B44" t="s">
        <v>92</v>
      </c>
      <c r="C44" t="s">
        <v>43</v>
      </c>
      <c r="D44" t="s">
        <v>4</v>
      </c>
      <c r="E44">
        <v>1</v>
      </c>
      <c r="F44">
        <v>1</v>
      </c>
      <c r="G44">
        <v>1.2</v>
      </c>
      <c r="H44">
        <v>0.7</v>
      </c>
      <c r="I44">
        <v>33</v>
      </c>
      <c r="J44" s="2">
        <v>43634</v>
      </c>
      <c r="P44" s="1"/>
      <c r="Q44" s="1"/>
    </row>
    <row r="45" spans="1:17" x14ac:dyDescent="0.25">
      <c r="A45" s="4">
        <v>45060</v>
      </c>
      <c r="B45" t="s">
        <v>62</v>
      </c>
      <c r="C45" t="s">
        <v>44</v>
      </c>
      <c r="D45" t="s">
        <v>18</v>
      </c>
      <c r="E45">
        <v>2</v>
      </c>
      <c r="F45">
        <v>1</v>
      </c>
      <c r="G45">
        <v>1.2</v>
      </c>
      <c r="H45">
        <v>0.7</v>
      </c>
      <c r="I45">
        <v>36</v>
      </c>
      <c r="J45" s="2">
        <v>14517</v>
      </c>
      <c r="Q45" s="1"/>
    </row>
    <row r="46" spans="1:17" x14ac:dyDescent="0.25">
      <c r="A46" s="4">
        <v>45067</v>
      </c>
      <c r="B46" t="s">
        <v>62</v>
      </c>
      <c r="C46" t="s">
        <v>43</v>
      </c>
      <c r="D46" t="s">
        <v>18</v>
      </c>
      <c r="E46">
        <v>1</v>
      </c>
      <c r="F46">
        <v>0</v>
      </c>
      <c r="G46">
        <v>1</v>
      </c>
      <c r="H46">
        <v>1.4</v>
      </c>
      <c r="I46">
        <v>27</v>
      </c>
      <c r="J46" s="2">
        <v>46002</v>
      </c>
      <c r="Q46" s="1"/>
    </row>
    <row r="47" spans="1:17" x14ac:dyDescent="0.25">
      <c r="A47" s="4">
        <v>45071</v>
      </c>
      <c r="B47" t="s">
        <v>85</v>
      </c>
      <c r="C47" t="s">
        <v>44</v>
      </c>
      <c r="D47" t="s">
        <v>19</v>
      </c>
      <c r="E47">
        <v>0</v>
      </c>
      <c r="F47">
        <v>1</v>
      </c>
      <c r="G47">
        <v>1.9</v>
      </c>
      <c r="H47">
        <v>0.5</v>
      </c>
      <c r="I47">
        <v>59</v>
      </c>
      <c r="J47" s="2">
        <v>14631</v>
      </c>
      <c r="Q47" s="1"/>
    </row>
    <row r="48" spans="1:17" x14ac:dyDescent="0.25">
      <c r="A48" s="4">
        <v>45074</v>
      </c>
      <c r="B48" t="s">
        <v>62</v>
      </c>
      <c r="C48" t="s">
        <v>43</v>
      </c>
      <c r="D48" t="s">
        <v>4</v>
      </c>
      <c r="E48">
        <v>2</v>
      </c>
      <c r="F48">
        <v>2</v>
      </c>
      <c r="G48">
        <v>2.6</v>
      </c>
      <c r="H48">
        <v>1.2</v>
      </c>
      <c r="I48">
        <v>53</v>
      </c>
      <c r="J48" s="2">
        <v>44141</v>
      </c>
      <c r="Q48" s="1"/>
    </row>
    <row r="49" spans="1:17" x14ac:dyDescent="0.25">
      <c r="A49" s="4">
        <v>45081</v>
      </c>
      <c r="B49" t="s">
        <v>62</v>
      </c>
      <c r="C49" t="s">
        <v>44</v>
      </c>
      <c r="D49" t="s">
        <v>4</v>
      </c>
      <c r="E49">
        <v>1</v>
      </c>
      <c r="F49">
        <v>1</v>
      </c>
      <c r="G49">
        <v>1.2</v>
      </c>
      <c r="H49">
        <v>0.6</v>
      </c>
      <c r="I49">
        <v>39</v>
      </c>
      <c r="J49" s="2">
        <v>54087</v>
      </c>
      <c r="Q49" s="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EC32-95BB-4B1B-B94D-1985E7FED6E4}">
  <dimension ref="A1:Q81"/>
  <sheetViews>
    <sheetView topLeftCell="A8" workbookViewId="0">
      <selection activeCell="Q34" sqref="Q34"/>
    </sheetView>
  </sheetViews>
  <sheetFormatPr defaultRowHeight="15" x14ac:dyDescent="0.25"/>
  <cols>
    <col min="1" max="1" width="11.28515625" style="4" customWidth="1"/>
    <col min="2" max="2" width="14.7109375" customWidth="1"/>
  </cols>
  <sheetData>
    <row r="1" spans="1:17" x14ac:dyDescent="0.25">
      <c r="A1" s="4" t="s">
        <v>129</v>
      </c>
    </row>
    <row r="2" spans="1:17" x14ac:dyDescent="0.25">
      <c r="A2" s="4" t="s">
        <v>130</v>
      </c>
    </row>
    <row r="3" spans="1:17" x14ac:dyDescent="0.25">
      <c r="A3" s="4" t="s">
        <v>131</v>
      </c>
    </row>
    <row r="4" spans="1:17" x14ac:dyDescent="0.25">
      <c r="A4" s="4" t="s">
        <v>132</v>
      </c>
    </row>
    <row r="5" spans="1:17" x14ac:dyDescent="0.25">
      <c r="A5" s="35" t="s">
        <v>0</v>
      </c>
      <c r="B5" s="36" t="s">
        <v>53</v>
      </c>
      <c r="C5" s="36" t="s">
        <v>54</v>
      </c>
      <c r="D5" s="36" t="s">
        <v>20</v>
      </c>
      <c r="E5" s="36" t="s">
        <v>21</v>
      </c>
      <c r="F5" s="36" t="s">
        <v>55</v>
      </c>
      <c r="G5" s="36" t="s">
        <v>56</v>
      </c>
      <c r="H5" s="36" t="s">
        <v>57</v>
      </c>
      <c r="I5" s="36" t="s">
        <v>24</v>
      </c>
    </row>
    <row r="6" spans="1:17" x14ac:dyDescent="0.25">
      <c r="A6" s="31">
        <v>44959</v>
      </c>
      <c r="B6" s="32" t="s">
        <v>44</v>
      </c>
      <c r="C6" s="32" t="s">
        <v>19</v>
      </c>
      <c r="D6" s="32">
        <v>0</v>
      </c>
      <c r="E6" s="32">
        <v>2</v>
      </c>
      <c r="F6" s="32">
        <v>0.2</v>
      </c>
      <c r="G6" s="32">
        <v>2.2999999999999998</v>
      </c>
      <c r="H6" s="32">
        <v>30</v>
      </c>
      <c r="I6" s="33">
        <v>51926</v>
      </c>
    </row>
    <row r="7" spans="1:17" x14ac:dyDescent="0.25">
      <c r="A7" s="5">
        <v>44962</v>
      </c>
      <c r="B7" s="6" t="s">
        <v>44</v>
      </c>
      <c r="C7" s="6" t="s">
        <v>19</v>
      </c>
      <c r="D7" s="6">
        <v>0</v>
      </c>
      <c r="E7" s="6">
        <v>1</v>
      </c>
      <c r="F7" s="6">
        <v>1</v>
      </c>
      <c r="G7" s="6">
        <v>2.2999999999999998</v>
      </c>
      <c r="H7" s="6">
        <v>49</v>
      </c>
      <c r="I7" s="7">
        <v>10732</v>
      </c>
    </row>
    <row r="8" spans="1:17" x14ac:dyDescent="0.25">
      <c r="A8" s="5">
        <v>44968</v>
      </c>
      <c r="B8" s="6" t="s">
        <v>43</v>
      </c>
      <c r="C8" s="6" t="s">
        <v>19</v>
      </c>
      <c r="D8" s="6">
        <v>1</v>
      </c>
      <c r="E8" s="6">
        <v>2</v>
      </c>
      <c r="F8" s="6">
        <v>1.6</v>
      </c>
      <c r="G8" s="6">
        <v>1.5</v>
      </c>
      <c r="H8" s="6">
        <v>49</v>
      </c>
      <c r="I8" s="7">
        <v>36688</v>
      </c>
      <c r="P8" s="1"/>
    </row>
    <row r="9" spans="1:17" x14ac:dyDescent="0.25">
      <c r="A9" s="5">
        <v>44977</v>
      </c>
      <c r="B9" s="6" t="s">
        <v>44</v>
      </c>
      <c r="C9" s="6" t="s">
        <v>19</v>
      </c>
      <c r="D9" s="6">
        <v>0</v>
      </c>
      <c r="E9" s="6">
        <v>1</v>
      </c>
      <c r="F9" s="6">
        <v>1</v>
      </c>
      <c r="G9" s="6">
        <v>1.8</v>
      </c>
      <c r="H9" s="6">
        <v>54</v>
      </c>
      <c r="I9" s="7">
        <v>10112</v>
      </c>
      <c r="P9" s="1"/>
      <c r="Q9" s="1"/>
    </row>
    <row r="10" spans="1:17" x14ac:dyDescent="0.25">
      <c r="A10" s="5">
        <v>44982</v>
      </c>
      <c r="B10" s="6" t="s">
        <v>43</v>
      </c>
      <c r="C10" s="6" t="s">
        <v>18</v>
      </c>
      <c r="D10" s="6">
        <v>1</v>
      </c>
      <c r="E10" s="6">
        <v>0</v>
      </c>
      <c r="F10" s="6">
        <v>0.5</v>
      </c>
      <c r="G10" s="6">
        <v>0.7</v>
      </c>
      <c r="H10" s="6">
        <v>38</v>
      </c>
      <c r="I10" s="7">
        <v>37465</v>
      </c>
      <c r="P10" s="1"/>
      <c r="Q10" s="1"/>
    </row>
    <row r="11" spans="1:17" x14ac:dyDescent="0.25">
      <c r="A11" s="5">
        <v>44990</v>
      </c>
      <c r="B11" s="6" t="s">
        <v>44</v>
      </c>
      <c r="C11" s="6" t="s">
        <v>19</v>
      </c>
      <c r="D11" s="6">
        <v>0</v>
      </c>
      <c r="E11" s="6">
        <v>1</v>
      </c>
      <c r="F11" s="6">
        <v>1</v>
      </c>
      <c r="G11" s="6">
        <v>1.8</v>
      </c>
      <c r="H11" s="6">
        <v>47</v>
      </c>
      <c r="I11" s="7">
        <v>89644</v>
      </c>
      <c r="P11" s="1"/>
    </row>
    <row r="12" spans="1:17" x14ac:dyDescent="0.25">
      <c r="A12" s="5">
        <v>44996</v>
      </c>
      <c r="B12" s="6" t="s">
        <v>43</v>
      </c>
      <c r="C12" s="6" t="s">
        <v>18</v>
      </c>
      <c r="D12" s="6">
        <v>1</v>
      </c>
      <c r="E12" s="6">
        <v>0</v>
      </c>
      <c r="F12" s="6">
        <v>1.7</v>
      </c>
      <c r="G12" s="6">
        <v>0.3</v>
      </c>
      <c r="H12" s="6">
        <v>55</v>
      </c>
      <c r="I12" s="7">
        <v>37762</v>
      </c>
      <c r="Q12" s="1"/>
    </row>
    <row r="13" spans="1:17" x14ac:dyDescent="0.25">
      <c r="A13" s="5">
        <v>45003</v>
      </c>
      <c r="B13" s="6" t="s">
        <v>44</v>
      </c>
      <c r="C13" s="6" t="s">
        <v>19</v>
      </c>
      <c r="D13" s="6">
        <v>0</v>
      </c>
      <c r="E13" s="6">
        <v>3</v>
      </c>
      <c r="F13" s="6">
        <v>1</v>
      </c>
      <c r="G13" s="6">
        <v>1.9</v>
      </c>
      <c r="H13" s="6">
        <v>44</v>
      </c>
      <c r="I13" s="7">
        <v>58317</v>
      </c>
    </row>
    <row r="14" spans="1:17" x14ac:dyDescent="0.25">
      <c r="A14" s="5">
        <v>45019</v>
      </c>
      <c r="B14" s="6" t="s">
        <v>43</v>
      </c>
      <c r="C14" s="6" t="s">
        <v>4</v>
      </c>
      <c r="D14" s="6">
        <v>1</v>
      </c>
      <c r="E14" s="6">
        <v>1</v>
      </c>
      <c r="F14" s="6">
        <v>2.2999999999999998</v>
      </c>
      <c r="G14" s="6">
        <v>0.8</v>
      </c>
      <c r="H14" s="6">
        <v>61</v>
      </c>
      <c r="I14" s="7">
        <v>39769</v>
      </c>
      <c r="Q14" s="1"/>
    </row>
    <row r="15" spans="1:17" x14ac:dyDescent="0.25">
      <c r="A15" s="5">
        <v>45025</v>
      </c>
      <c r="B15" s="6" t="s">
        <v>44</v>
      </c>
      <c r="C15" s="6" t="s">
        <v>19</v>
      </c>
      <c r="D15" s="6">
        <v>1</v>
      </c>
      <c r="E15" s="6">
        <v>2</v>
      </c>
      <c r="F15" s="6">
        <v>1.3</v>
      </c>
      <c r="G15" s="6">
        <v>0.9</v>
      </c>
      <c r="H15" s="6">
        <v>60</v>
      </c>
      <c r="I15" s="7">
        <v>14309</v>
      </c>
    </row>
    <row r="16" spans="1:17" x14ac:dyDescent="0.25">
      <c r="A16" s="5">
        <v>45032</v>
      </c>
      <c r="B16" s="6" t="s">
        <v>43</v>
      </c>
      <c r="C16" s="6" t="s">
        <v>19</v>
      </c>
      <c r="D16" s="6">
        <v>0</v>
      </c>
      <c r="E16" s="6">
        <v>2</v>
      </c>
      <c r="F16" s="6">
        <v>0.4</v>
      </c>
      <c r="G16" s="6">
        <v>0.4</v>
      </c>
      <c r="H16" s="6">
        <v>60</v>
      </c>
      <c r="I16" s="7">
        <v>39654</v>
      </c>
      <c r="P16" s="1"/>
      <c r="Q16" s="1"/>
    </row>
    <row r="17" spans="1:17" x14ac:dyDescent="0.25">
      <c r="A17" s="5">
        <v>45039</v>
      </c>
      <c r="B17" s="6" t="s">
        <v>44</v>
      </c>
      <c r="C17" s="6" t="s">
        <v>18</v>
      </c>
      <c r="D17" s="6">
        <v>2</v>
      </c>
      <c r="E17" s="6">
        <v>0</v>
      </c>
      <c r="F17" s="6">
        <v>1</v>
      </c>
      <c r="G17" s="6">
        <v>0.6</v>
      </c>
      <c r="H17" s="6">
        <v>35</v>
      </c>
      <c r="I17" s="7">
        <v>22129</v>
      </c>
      <c r="Q17" s="1"/>
    </row>
    <row r="18" spans="1:17" x14ac:dyDescent="0.25">
      <c r="A18" s="5">
        <v>45043</v>
      </c>
      <c r="B18" s="6" t="s">
        <v>43</v>
      </c>
      <c r="C18" s="6" t="s">
        <v>18</v>
      </c>
      <c r="D18" s="6">
        <v>2</v>
      </c>
      <c r="E18" s="6">
        <v>1</v>
      </c>
      <c r="F18" s="6">
        <v>0.9</v>
      </c>
      <c r="G18" s="6">
        <v>0.9</v>
      </c>
      <c r="H18" s="6">
        <v>49</v>
      </c>
      <c r="I18" s="7">
        <v>42023</v>
      </c>
      <c r="P18" s="1"/>
    </row>
    <row r="19" spans="1:17" x14ac:dyDescent="0.25">
      <c r="A19" s="5">
        <v>45046</v>
      </c>
      <c r="B19" s="6" t="s">
        <v>44</v>
      </c>
      <c r="C19" s="6" t="s">
        <v>19</v>
      </c>
      <c r="D19" s="6">
        <v>1</v>
      </c>
      <c r="E19" s="6">
        <v>2</v>
      </c>
      <c r="F19" s="6">
        <v>1.3</v>
      </c>
      <c r="G19" s="6">
        <v>1.8</v>
      </c>
      <c r="H19" s="6">
        <v>61</v>
      </c>
      <c r="I19" s="7">
        <v>18650</v>
      </c>
      <c r="P19" s="1"/>
    </row>
    <row r="20" spans="1:17" x14ac:dyDescent="0.25">
      <c r="A20" s="5">
        <v>45049</v>
      </c>
      <c r="B20" s="6" t="s">
        <v>43</v>
      </c>
      <c r="C20" s="6" t="s">
        <v>4</v>
      </c>
      <c r="D20" s="6">
        <v>1</v>
      </c>
      <c r="E20" s="6">
        <v>1</v>
      </c>
      <c r="F20" s="6">
        <v>1.2</v>
      </c>
      <c r="G20" s="6">
        <v>0.7</v>
      </c>
      <c r="H20" s="6">
        <v>33</v>
      </c>
      <c r="I20" s="7">
        <v>43634</v>
      </c>
      <c r="P20" s="1"/>
    </row>
    <row r="21" spans="1:17" x14ac:dyDescent="0.25">
      <c r="A21" s="5">
        <v>45060</v>
      </c>
      <c r="B21" s="6" t="s">
        <v>44</v>
      </c>
      <c r="C21" s="6" t="s">
        <v>18</v>
      </c>
      <c r="D21" s="6">
        <v>2</v>
      </c>
      <c r="E21" s="6">
        <v>1</v>
      </c>
      <c r="F21" s="6">
        <v>1.2</v>
      </c>
      <c r="G21" s="6">
        <v>0.7</v>
      </c>
      <c r="H21" s="6">
        <v>36</v>
      </c>
      <c r="I21" s="7">
        <v>14517</v>
      </c>
      <c r="Q21" s="1"/>
    </row>
    <row r="22" spans="1:17" x14ac:dyDescent="0.25">
      <c r="A22" s="5">
        <v>45067</v>
      </c>
      <c r="B22" s="6" t="s">
        <v>43</v>
      </c>
      <c r="C22" s="6" t="s">
        <v>18</v>
      </c>
      <c r="D22" s="6">
        <v>1</v>
      </c>
      <c r="E22" s="6">
        <v>0</v>
      </c>
      <c r="F22" s="6">
        <v>1</v>
      </c>
      <c r="G22" s="6">
        <v>1.4</v>
      </c>
      <c r="H22" s="6">
        <v>27</v>
      </c>
      <c r="I22" s="7">
        <v>46002</v>
      </c>
      <c r="P22" s="1"/>
      <c r="Q22" s="1"/>
    </row>
    <row r="23" spans="1:17" x14ac:dyDescent="0.25">
      <c r="A23" s="5">
        <v>45071</v>
      </c>
      <c r="B23" s="6" t="s">
        <v>44</v>
      </c>
      <c r="C23" s="6" t="s">
        <v>19</v>
      </c>
      <c r="D23" s="6">
        <v>0</v>
      </c>
      <c r="E23" s="6">
        <v>1</v>
      </c>
      <c r="F23" s="6">
        <v>1.9</v>
      </c>
      <c r="G23" s="6">
        <v>0.5</v>
      </c>
      <c r="H23" s="6">
        <v>59</v>
      </c>
      <c r="I23" s="7">
        <v>14631</v>
      </c>
      <c r="P23" s="1"/>
      <c r="Q23" s="1"/>
    </row>
    <row r="24" spans="1:17" x14ac:dyDescent="0.25">
      <c r="A24" s="5">
        <v>45074</v>
      </c>
      <c r="B24" s="6" t="s">
        <v>43</v>
      </c>
      <c r="C24" s="6" t="s">
        <v>4</v>
      </c>
      <c r="D24" s="6">
        <v>2</v>
      </c>
      <c r="E24" s="6">
        <v>2</v>
      </c>
      <c r="F24" s="6">
        <v>2.6</v>
      </c>
      <c r="G24" s="6">
        <v>1.2</v>
      </c>
      <c r="H24" s="6">
        <v>53</v>
      </c>
      <c r="I24" s="7">
        <v>44141</v>
      </c>
    </row>
    <row r="25" spans="1:17" x14ac:dyDescent="0.25">
      <c r="A25" s="5">
        <v>45081</v>
      </c>
      <c r="B25" s="6" t="s">
        <v>44</v>
      </c>
      <c r="C25" s="6" t="s">
        <v>4</v>
      </c>
      <c r="D25" s="6">
        <v>1</v>
      </c>
      <c r="E25" s="6">
        <v>1</v>
      </c>
      <c r="F25" s="6">
        <v>1.2</v>
      </c>
      <c r="G25" s="6">
        <v>0.6</v>
      </c>
      <c r="H25" s="6">
        <v>39</v>
      </c>
      <c r="I25" s="7">
        <v>54087</v>
      </c>
      <c r="P25" s="1"/>
      <c r="Q25" s="1"/>
    </row>
    <row r="26" spans="1:17" x14ac:dyDescent="0.25">
      <c r="A26" s="4">
        <v>45149</v>
      </c>
      <c r="B26" t="s">
        <v>44</v>
      </c>
      <c r="C26" t="s">
        <v>18</v>
      </c>
      <c r="D26">
        <v>2</v>
      </c>
      <c r="E26">
        <v>1</v>
      </c>
      <c r="F26">
        <v>1.1000000000000001</v>
      </c>
      <c r="G26">
        <v>0.7</v>
      </c>
      <c r="H26">
        <v>45</v>
      </c>
      <c r="I26" s="2">
        <v>34184</v>
      </c>
      <c r="P26" s="1"/>
      <c r="Q26" s="1"/>
    </row>
    <row r="27" spans="1:17" x14ac:dyDescent="0.25">
      <c r="A27" s="4">
        <v>45156</v>
      </c>
      <c r="B27" t="s">
        <v>43</v>
      </c>
      <c r="C27" t="s">
        <v>18</v>
      </c>
      <c r="D27">
        <v>1</v>
      </c>
      <c r="E27">
        <v>0</v>
      </c>
      <c r="F27">
        <v>1.5</v>
      </c>
      <c r="G27">
        <v>0.5</v>
      </c>
      <c r="H27">
        <v>39</v>
      </c>
      <c r="I27" s="2">
        <v>41053</v>
      </c>
      <c r="P27" s="1"/>
      <c r="Q27" s="1"/>
    </row>
    <row r="28" spans="1:17" x14ac:dyDescent="0.25">
      <c r="A28" s="4">
        <v>45165</v>
      </c>
      <c r="B28" t="s">
        <v>43</v>
      </c>
      <c r="C28" t="s">
        <v>19</v>
      </c>
      <c r="D28">
        <v>1</v>
      </c>
      <c r="E28">
        <v>2</v>
      </c>
      <c r="F28">
        <v>1.7</v>
      </c>
      <c r="G28">
        <v>1.2</v>
      </c>
      <c r="H28">
        <v>64</v>
      </c>
      <c r="I28" s="2">
        <v>42474</v>
      </c>
      <c r="P28" s="1"/>
      <c r="Q28" s="1"/>
    </row>
    <row r="29" spans="1:17" x14ac:dyDescent="0.25">
      <c r="A29" s="4">
        <v>45171</v>
      </c>
      <c r="B29" t="s">
        <v>44</v>
      </c>
      <c r="C29" t="s">
        <v>19</v>
      </c>
      <c r="D29">
        <v>0</v>
      </c>
      <c r="E29">
        <v>1</v>
      </c>
      <c r="F29">
        <v>0.8</v>
      </c>
      <c r="G29">
        <v>1.3</v>
      </c>
      <c r="H29">
        <v>60</v>
      </c>
      <c r="I29" s="2">
        <v>16641</v>
      </c>
      <c r="Q29" s="1"/>
    </row>
    <row r="30" spans="1:17" x14ac:dyDescent="0.25">
      <c r="A30" s="4">
        <v>45185</v>
      </c>
      <c r="B30" t="s">
        <v>43</v>
      </c>
      <c r="C30" t="s">
        <v>18</v>
      </c>
      <c r="D30">
        <v>3</v>
      </c>
      <c r="E30">
        <v>0</v>
      </c>
      <c r="F30">
        <v>1.3</v>
      </c>
      <c r="G30">
        <v>0.6</v>
      </c>
      <c r="H30">
        <v>37</v>
      </c>
      <c r="I30" s="2">
        <v>45363</v>
      </c>
      <c r="P30" s="1"/>
      <c r="Q30" s="1"/>
    </row>
    <row r="31" spans="1:17" x14ac:dyDescent="0.25">
      <c r="A31" s="4">
        <v>45192</v>
      </c>
      <c r="B31" t="s">
        <v>44</v>
      </c>
      <c r="C31" t="s">
        <v>4</v>
      </c>
      <c r="D31">
        <v>2</v>
      </c>
      <c r="E31">
        <v>2</v>
      </c>
      <c r="F31">
        <v>0.8</v>
      </c>
      <c r="G31">
        <v>2.6</v>
      </c>
      <c r="H31">
        <v>39</v>
      </c>
      <c r="I31" s="2">
        <v>14266</v>
      </c>
      <c r="P31" s="1"/>
    </row>
    <row r="32" spans="1:17" x14ac:dyDescent="0.25">
      <c r="A32" s="4">
        <v>45196</v>
      </c>
      <c r="B32" t="s">
        <v>43</v>
      </c>
      <c r="C32" t="s">
        <v>19</v>
      </c>
      <c r="D32">
        <v>0</v>
      </c>
      <c r="E32">
        <v>1</v>
      </c>
      <c r="F32">
        <v>0.4</v>
      </c>
      <c r="G32">
        <v>0.2</v>
      </c>
      <c r="H32">
        <v>38</v>
      </c>
      <c r="I32" s="2">
        <v>44200</v>
      </c>
      <c r="P32" s="1"/>
    </row>
    <row r="33" spans="1:17" x14ac:dyDescent="0.25">
      <c r="A33" s="4">
        <v>45200</v>
      </c>
      <c r="B33" t="s">
        <v>44</v>
      </c>
      <c r="C33" t="s">
        <v>19</v>
      </c>
      <c r="D33">
        <v>0</v>
      </c>
      <c r="E33">
        <v>3</v>
      </c>
      <c r="F33">
        <v>0.7</v>
      </c>
      <c r="G33">
        <v>1.6</v>
      </c>
      <c r="H33">
        <v>45</v>
      </c>
      <c r="I33" s="2">
        <v>50163</v>
      </c>
      <c r="Q33" s="1"/>
    </row>
    <row r="34" spans="1:17" x14ac:dyDescent="0.25">
      <c r="A34" s="4">
        <v>45206</v>
      </c>
      <c r="B34" t="s">
        <v>44</v>
      </c>
      <c r="C34" t="s">
        <v>4</v>
      </c>
      <c r="D34">
        <v>1</v>
      </c>
      <c r="E34">
        <v>1</v>
      </c>
      <c r="F34">
        <v>0.5</v>
      </c>
      <c r="G34">
        <v>0.6</v>
      </c>
      <c r="H34">
        <v>51</v>
      </c>
      <c r="I34" s="2">
        <v>17659</v>
      </c>
      <c r="P34" s="1"/>
    </row>
    <row r="35" spans="1:17" x14ac:dyDescent="0.25">
      <c r="A35" s="4">
        <v>45222</v>
      </c>
      <c r="B35" t="s">
        <v>43</v>
      </c>
      <c r="C35" t="s">
        <v>18</v>
      </c>
      <c r="D35">
        <v>2</v>
      </c>
      <c r="E35">
        <v>0</v>
      </c>
      <c r="F35">
        <v>1.5</v>
      </c>
      <c r="G35">
        <v>0.6</v>
      </c>
      <c r="H35">
        <v>61</v>
      </c>
      <c r="I35" s="2">
        <v>41647</v>
      </c>
      <c r="P35" s="1"/>
      <c r="Q35" s="1"/>
    </row>
    <row r="36" spans="1:17" x14ac:dyDescent="0.25">
      <c r="A36" s="4">
        <v>45228</v>
      </c>
      <c r="B36" t="s">
        <v>44</v>
      </c>
      <c r="C36" t="s">
        <v>4</v>
      </c>
      <c r="D36">
        <v>2</v>
      </c>
      <c r="E36">
        <v>2</v>
      </c>
      <c r="F36">
        <v>1.9</v>
      </c>
      <c r="G36">
        <v>1.9</v>
      </c>
      <c r="H36">
        <v>43</v>
      </c>
      <c r="I36" s="2">
        <v>46563</v>
      </c>
      <c r="P36" s="1"/>
      <c r="Q36" s="1"/>
    </row>
    <row r="37" spans="1:17" x14ac:dyDescent="0.25">
      <c r="A37" s="4">
        <v>45232</v>
      </c>
      <c r="B37" t="s">
        <v>44</v>
      </c>
      <c r="C37" t="s">
        <v>18</v>
      </c>
      <c r="D37">
        <v>2</v>
      </c>
      <c r="E37">
        <v>0</v>
      </c>
      <c r="H37">
        <v>52</v>
      </c>
      <c r="I37" s="2">
        <v>8010</v>
      </c>
      <c r="P37" s="1"/>
    </row>
    <row r="38" spans="1:17" x14ac:dyDescent="0.25">
      <c r="A38" s="4">
        <v>45235</v>
      </c>
      <c r="B38" t="s">
        <v>43</v>
      </c>
      <c r="C38" t="s">
        <v>18</v>
      </c>
      <c r="D38">
        <v>1</v>
      </c>
      <c r="E38">
        <v>0</v>
      </c>
      <c r="F38">
        <v>1.2</v>
      </c>
      <c r="G38">
        <v>0.5</v>
      </c>
      <c r="H38">
        <v>51</v>
      </c>
      <c r="I38" s="2">
        <v>44922</v>
      </c>
    </row>
    <row r="39" spans="1:17" x14ac:dyDescent="0.25">
      <c r="A39" s="4">
        <v>45241</v>
      </c>
      <c r="B39" t="s">
        <v>44</v>
      </c>
      <c r="C39" t="s">
        <v>19</v>
      </c>
      <c r="D39">
        <v>1</v>
      </c>
      <c r="E39">
        <v>5</v>
      </c>
      <c r="F39">
        <v>1.7</v>
      </c>
      <c r="G39">
        <v>1.7</v>
      </c>
      <c r="H39">
        <v>44</v>
      </c>
      <c r="I39" s="2">
        <v>72475</v>
      </c>
      <c r="P39" s="1"/>
      <c r="Q39" s="1"/>
    </row>
    <row r="40" spans="1:17" x14ac:dyDescent="0.25">
      <c r="A40" s="4">
        <v>45255</v>
      </c>
      <c r="B40" t="s">
        <v>43</v>
      </c>
      <c r="C40" t="s">
        <v>4</v>
      </c>
      <c r="D40">
        <v>0</v>
      </c>
      <c r="E40">
        <v>0</v>
      </c>
      <c r="F40">
        <v>0.5</v>
      </c>
      <c r="G40">
        <v>0.8</v>
      </c>
      <c r="H40">
        <v>55</v>
      </c>
      <c r="I40" s="2">
        <v>43375</v>
      </c>
      <c r="P40" s="1"/>
      <c r="Q40" s="1"/>
    </row>
    <row r="41" spans="1:17" x14ac:dyDescent="0.25">
      <c r="A41" s="4">
        <v>45262</v>
      </c>
      <c r="B41" t="s">
        <v>44</v>
      </c>
      <c r="C41" t="s">
        <v>19</v>
      </c>
      <c r="D41">
        <v>1</v>
      </c>
      <c r="E41">
        <v>2</v>
      </c>
      <c r="F41">
        <v>1</v>
      </c>
      <c r="G41">
        <v>1.6</v>
      </c>
      <c r="H41">
        <v>25</v>
      </c>
      <c r="I41" s="2">
        <v>13343</v>
      </c>
      <c r="P41" s="1"/>
      <c r="Q41" s="1"/>
    </row>
    <row r="42" spans="1:17" x14ac:dyDescent="0.25">
      <c r="A42" s="4">
        <v>45265</v>
      </c>
      <c r="B42" t="s">
        <v>44</v>
      </c>
      <c r="C42" t="s">
        <v>18</v>
      </c>
      <c r="D42">
        <v>1</v>
      </c>
      <c r="E42">
        <v>0</v>
      </c>
      <c r="H42">
        <v>61</v>
      </c>
      <c r="I42" s="2">
        <v>4253</v>
      </c>
      <c r="P42" s="1"/>
      <c r="Q42" s="1"/>
    </row>
    <row r="43" spans="1:17" x14ac:dyDescent="0.25">
      <c r="A43" s="4">
        <v>45268</v>
      </c>
      <c r="B43" t="s">
        <v>44</v>
      </c>
      <c r="C43" t="s">
        <v>19</v>
      </c>
      <c r="D43">
        <v>0</v>
      </c>
      <c r="E43">
        <v>1</v>
      </c>
      <c r="F43">
        <v>0.1</v>
      </c>
      <c r="G43">
        <v>0.7</v>
      </c>
      <c r="H43">
        <v>33</v>
      </c>
      <c r="I43" s="2">
        <v>11515</v>
      </c>
      <c r="P43" s="1"/>
      <c r="Q43" s="1"/>
    </row>
    <row r="44" spans="1:17" x14ac:dyDescent="0.25">
      <c r="A44" s="4">
        <v>45276</v>
      </c>
      <c r="B44" t="s">
        <v>43</v>
      </c>
      <c r="C44" t="s">
        <v>4</v>
      </c>
      <c r="D44">
        <v>1</v>
      </c>
      <c r="E44">
        <v>1</v>
      </c>
      <c r="F44">
        <v>0.5</v>
      </c>
      <c r="G44">
        <v>3.2</v>
      </c>
      <c r="H44">
        <v>37</v>
      </c>
      <c r="I44" s="2">
        <v>46492</v>
      </c>
      <c r="P44" s="1"/>
    </row>
    <row r="45" spans="1:17" x14ac:dyDescent="0.25">
      <c r="A45" s="4">
        <v>45279</v>
      </c>
      <c r="B45" t="s">
        <v>44</v>
      </c>
      <c r="C45" t="s">
        <v>18</v>
      </c>
      <c r="D45">
        <v>1</v>
      </c>
      <c r="E45">
        <v>0</v>
      </c>
      <c r="F45">
        <v>0.3</v>
      </c>
      <c r="G45">
        <v>0.3</v>
      </c>
      <c r="H45">
        <v>41</v>
      </c>
      <c r="I45" s="2">
        <v>12290</v>
      </c>
      <c r="P45" s="1"/>
      <c r="Q45" s="1"/>
    </row>
    <row r="46" spans="1:17" x14ac:dyDescent="0.25">
      <c r="A46" s="4">
        <v>45293</v>
      </c>
      <c r="B46" t="s">
        <v>43</v>
      </c>
      <c r="C46" t="s">
        <v>18</v>
      </c>
      <c r="D46">
        <v>3</v>
      </c>
      <c r="E46">
        <v>1</v>
      </c>
      <c r="F46">
        <v>2.8</v>
      </c>
      <c r="G46">
        <v>0.5</v>
      </c>
      <c r="H46">
        <v>46</v>
      </c>
      <c r="I46" s="2">
        <v>44973</v>
      </c>
      <c r="P46" s="1"/>
    </row>
    <row r="47" spans="1:17" x14ac:dyDescent="0.25">
      <c r="A47" s="4">
        <v>45298</v>
      </c>
      <c r="B47" t="s">
        <v>44</v>
      </c>
      <c r="C47" t="s">
        <v>18</v>
      </c>
      <c r="D47">
        <v>2</v>
      </c>
      <c r="E47">
        <v>1</v>
      </c>
      <c r="H47">
        <v>70</v>
      </c>
      <c r="I47" s="2">
        <v>8000</v>
      </c>
    </row>
    <row r="48" spans="1:17" x14ac:dyDescent="0.25">
      <c r="A48" s="4">
        <v>45305</v>
      </c>
      <c r="B48" t="s">
        <v>44</v>
      </c>
      <c r="C48" t="s">
        <v>18</v>
      </c>
      <c r="D48">
        <v>4</v>
      </c>
      <c r="E48">
        <v>1</v>
      </c>
      <c r="F48">
        <v>1.9</v>
      </c>
      <c r="G48">
        <v>1.1000000000000001</v>
      </c>
      <c r="H48">
        <v>43</v>
      </c>
      <c r="I48" s="2">
        <v>18622</v>
      </c>
      <c r="P48" s="1"/>
      <c r="Q48" s="1"/>
    </row>
    <row r="49" spans="1:17" x14ac:dyDescent="0.25">
      <c r="A49" s="4">
        <v>45308</v>
      </c>
      <c r="B49" t="s">
        <v>43</v>
      </c>
      <c r="C49" t="s">
        <v>19</v>
      </c>
      <c r="D49">
        <v>1</v>
      </c>
      <c r="E49">
        <v>3</v>
      </c>
      <c r="H49">
        <v>63</v>
      </c>
      <c r="I49" s="2">
        <v>44456</v>
      </c>
      <c r="P49" s="1"/>
    </row>
    <row r="50" spans="1:17" x14ac:dyDescent="0.25">
      <c r="A50" s="4">
        <v>45311</v>
      </c>
      <c r="B50" t="s">
        <v>43</v>
      </c>
      <c r="C50" t="s">
        <v>18</v>
      </c>
      <c r="D50">
        <v>1</v>
      </c>
      <c r="E50">
        <v>0</v>
      </c>
      <c r="F50">
        <v>0.9</v>
      </c>
      <c r="G50">
        <v>0.5</v>
      </c>
      <c r="H50">
        <v>40</v>
      </c>
      <c r="I50" s="2">
        <v>45344</v>
      </c>
      <c r="P50" s="1"/>
      <c r="Q50" s="1"/>
    </row>
    <row r="51" spans="1:17" x14ac:dyDescent="0.25">
      <c r="A51" s="4">
        <v>45319</v>
      </c>
      <c r="B51" t="s">
        <v>44</v>
      </c>
      <c r="C51" t="s">
        <v>19</v>
      </c>
      <c r="D51">
        <v>0</v>
      </c>
      <c r="E51">
        <v>2</v>
      </c>
      <c r="F51">
        <v>0.5</v>
      </c>
      <c r="G51">
        <v>2.4</v>
      </c>
      <c r="H51">
        <v>46</v>
      </c>
      <c r="I51" s="2">
        <v>59493</v>
      </c>
    </row>
    <row r="52" spans="1:17" x14ac:dyDescent="0.25">
      <c r="A52" s="4">
        <v>45325</v>
      </c>
      <c r="B52" t="s">
        <v>43</v>
      </c>
      <c r="C52" t="s">
        <v>18</v>
      </c>
      <c r="D52">
        <v>2</v>
      </c>
      <c r="E52">
        <v>1</v>
      </c>
      <c r="F52">
        <v>1.4</v>
      </c>
      <c r="G52">
        <v>1.9</v>
      </c>
      <c r="H52">
        <v>48</v>
      </c>
      <c r="I52" s="2">
        <v>42877</v>
      </c>
    </row>
    <row r="53" spans="1:17" x14ac:dyDescent="0.25">
      <c r="A53" s="4">
        <v>45332</v>
      </c>
      <c r="B53" t="s">
        <v>44</v>
      </c>
      <c r="C53" t="s">
        <v>19</v>
      </c>
      <c r="D53">
        <v>0</v>
      </c>
      <c r="E53">
        <v>2</v>
      </c>
      <c r="F53">
        <v>0.5</v>
      </c>
      <c r="G53">
        <v>1.3</v>
      </c>
      <c r="H53">
        <v>28</v>
      </c>
      <c r="I53" s="2">
        <v>25633</v>
      </c>
    </row>
    <row r="54" spans="1:17" x14ac:dyDescent="0.25">
      <c r="A54" s="4">
        <v>45339</v>
      </c>
      <c r="B54" t="s">
        <v>43</v>
      </c>
      <c r="C54" t="s">
        <v>4</v>
      </c>
      <c r="D54">
        <v>0</v>
      </c>
      <c r="E54">
        <v>0</v>
      </c>
      <c r="F54">
        <v>1</v>
      </c>
      <c r="G54">
        <v>0</v>
      </c>
      <c r="H54">
        <v>54</v>
      </c>
      <c r="I54" s="2">
        <v>44506</v>
      </c>
    </row>
    <row r="55" spans="1:17" x14ac:dyDescent="0.25">
      <c r="A55" s="4">
        <v>45353</v>
      </c>
      <c r="B55" t="s">
        <v>43</v>
      </c>
      <c r="C55" t="s">
        <v>4</v>
      </c>
      <c r="D55">
        <v>2</v>
      </c>
      <c r="E55">
        <v>2</v>
      </c>
      <c r="F55">
        <v>1.1000000000000001</v>
      </c>
      <c r="G55">
        <v>2.2000000000000002</v>
      </c>
      <c r="H55">
        <v>30</v>
      </c>
      <c r="I55" s="2">
        <v>47427</v>
      </c>
    </row>
    <row r="56" spans="1:17" x14ac:dyDescent="0.25">
      <c r="A56" s="4">
        <v>45360</v>
      </c>
      <c r="B56" t="s">
        <v>43</v>
      </c>
      <c r="C56" t="s">
        <v>18</v>
      </c>
      <c r="D56">
        <v>1</v>
      </c>
      <c r="E56">
        <v>0</v>
      </c>
      <c r="F56">
        <v>0.8</v>
      </c>
      <c r="G56">
        <v>1.3</v>
      </c>
      <c r="H56">
        <v>51</v>
      </c>
      <c r="I56" s="2">
        <v>37961</v>
      </c>
    </row>
    <row r="57" spans="1:17" x14ac:dyDescent="0.25">
      <c r="A57" s="4">
        <v>45368</v>
      </c>
      <c r="B57" t="s">
        <v>44</v>
      </c>
      <c r="C57" t="s">
        <v>19</v>
      </c>
      <c r="D57">
        <v>0</v>
      </c>
      <c r="E57">
        <v>1</v>
      </c>
      <c r="F57">
        <v>1.1000000000000001</v>
      </c>
      <c r="G57">
        <v>2</v>
      </c>
      <c r="H57">
        <v>48</v>
      </c>
      <c r="I57" s="2">
        <v>20647</v>
      </c>
    </row>
    <row r="58" spans="1:17" x14ac:dyDescent="0.25">
      <c r="A58" s="4">
        <v>45381</v>
      </c>
      <c r="B58" t="s">
        <v>43</v>
      </c>
      <c r="C58" t="s">
        <v>4</v>
      </c>
      <c r="D58">
        <v>0</v>
      </c>
      <c r="E58">
        <v>0</v>
      </c>
      <c r="F58">
        <v>1.5</v>
      </c>
      <c r="G58">
        <v>0.9</v>
      </c>
      <c r="H58">
        <v>53</v>
      </c>
      <c r="I58" s="2">
        <v>42567</v>
      </c>
    </row>
    <row r="59" spans="1:17" x14ac:dyDescent="0.25">
      <c r="A59" s="4">
        <v>45386</v>
      </c>
      <c r="B59" t="s">
        <v>44</v>
      </c>
      <c r="C59" t="s">
        <v>18</v>
      </c>
      <c r="D59">
        <v>1</v>
      </c>
      <c r="E59">
        <v>0</v>
      </c>
      <c r="F59">
        <v>0.4</v>
      </c>
      <c r="G59">
        <v>0.6</v>
      </c>
      <c r="H59">
        <v>43</v>
      </c>
      <c r="I59" s="2">
        <v>15107</v>
      </c>
    </row>
    <row r="60" spans="1:17" x14ac:dyDescent="0.25">
      <c r="A60" s="4">
        <v>45397</v>
      </c>
      <c r="B60" t="s">
        <v>44</v>
      </c>
      <c r="C60" t="s">
        <v>18</v>
      </c>
      <c r="D60">
        <v>1</v>
      </c>
      <c r="E60">
        <v>0</v>
      </c>
      <c r="F60">
        <v>0.2</v>
      </c>
      <c r="G60">
        <v>1.9</v>
      </c>
      <c r="H60">
        <v>35</v>
      </c>
      <c r="I60" s="2">
        <v>19480</v>
      </c>
    </row>
    <row r="61" spans="1:17" x14ac:dyDescent="0.25">
      <c r="A61" s="4">
        <v>45402</v>
      </c>
      <c r="B61" t="s">
        <v>43</v>
      </c>
      <c r="C61" t="s">
        <v>19</v>
      </c>
      <c r="D61">
        <v>1</v>
      </c>
      <c r="E61">
        <v>2</v>
      </c>
      <c r="F61">
        <v>1.1000000000000001</v>
      </c>
      <c r="G61">
        <v>1.3</v>
      </c>
      <c r="H61">
        <v>54</v>
      </c>
      <c r="I61" s="2">
        <v>46371</v>
      </c>
    </row>
    <row r="62" spans="1:17" x14ac:dyDescent="0.25">
      <c r="A62" s="4">
        <v>45411</v>
      </c>
      <c r="B62" t="s">
        <v>44</v>
      </c>
      <c r="C62" t="s">
        <v>19</v>
      </c>
      <c r="D62">
        <v>2</v>
      </c>
      <c r="E62">
        <v>4</v>
      </c>
      <c r="F62">
        <v>2.1</v>
      </c>
      <c r="G62">
        <v>2.2000000000000002</v>
      </c>
      <c r="H62">
        <v>20</v>
      </c>
      <c r="I62" s="2">
        <v>30167</v>
      </c>
    </row>
    <row r="63" spans="1:17" x14ac:dyDescent="0.25">
      <c r="A63" s="4">
        <v>45417</v>
      </c>
      <c r="B63" t="s">
        <v>43</v>
      </c>
      <c r="C63" t="s">
        <v>19</v>
      </c>
      <c r="D63">
        <v>0</v>
      </c>
      <c r="E63">
        <v>1</v>
      </c>
      <c r="F63">
        <v>0.9</v>
      </c>
      <c r="G63">
        <v>0.8</v>
      </c>
      <c r="H63">
        <v>58</v>
      </c>
      <c r="I63" s="2">
        <v>44643</v>
      </c>
    </row>
    <row r="64" spans="1:17" x14ac:dyDescent="0.25">
      <c r="A64" s="4">
        <v>45424</v>
      </c>
      <c r="B64" t="s">
        <v>43</v>
      </c>
      <c r="C64" t="s">
        <v>4</v>
      </c>
      <c r="D64">
        <v>0</v>
      </c>
      <c r="E64">
        <v>0</v>
      </c>
      <c r="F64">
        <v>1.3</v>
      </c>
      <c r="G64">
        <v>0.6</v>
      </c>
      <c r="H64">
        <v>51</v>
      </c>
      <c r="I64" s="2">
        <v>42642</v>
      </c>
    </row>
    <row r="65" spans="1:9" x14ac:dyDescent="0.25">
      <c r="A65" s="4">
        <v>45428</v>
      </c>
      <c r="B65" t="s">
        <v>44</v>
      </c>
      <c r="C65" t="s">
        <v>19</v>
      </c>
      <c r="D65">
        <v>0</v>
      </c>
      <c r="E65">
        <v>1</v>
      </c>
      <c r="F65">
        <v>0.8</v>
      </c>
      <c r="G65">
        <v>1.3</v>
      </c>
      <c r="H65">
        <v>43</v>
      </c>
      <c r="I65" s="2">
        <v>25067</v>
      </c>
    </row>
    <row r="66" spans="1:9" x14ac:dyDescent="0.25">
      <c r="A66" s="4">
        <v>45431</v>
      </c>
      <c r="B66" t="s">
        <v>43</v>
      </c>
      <c r="C66" t="s">
        <v>19</v>
      </c>
      <c r="D66">
        <v>1</v>
      </c>
      <c r="E66">
        <v>3</v>
      </c>
      <c r="F66">
        <v>3.2</v>
      </c>
      <c r="G66">
        <v>2.6</v>
      </c>
      <c r="H66">
        <v>37</v>
      </c>
      <c r="I66" s="2">
        <v>36138</v>
      </c>
    </row>
    <row r="67" spans="1:9" x14ac:dyDescent="0.25">
      <c r="A67" s="4">
        <v>45438</v>
      </c>
      <c r="B67" t="s">
        <v>44</v>
      </c>
      <c r="C67" t="s">
        <v>4</v>
      </c>
      <c r="D67">
        <v>2</v>
      </c>
      <c r="E67">
        <v>2</v>
      </c>
      <c r="F67">
        <v>2</v>
      </c>
      <c r="G67">
        <v>1.5</v>
      </c>
      <c r="H67">
        <v>46</v>
      </c>
      <c r="I67" s="2">
        <v>21878</v>
      </c>
    </row>
    <row r="68" spans="1:9" x14ac:dyDescent="0.25">
      <c r="A68" s="5">
        <v>45521</v>
      </c>
      <c r="B68" s="6" t="s">
        <v>43</v>
      </c>
      <c r="C68" s="6" t="s">
        <v>19</v>
      </c>
      <c r="D68" s="6">
        <v>1</v>
      </c>
      <c r="E68" s="6">
        <v>2</v>
      </c>
      <c r="F68" s="6">
        <v>1</v>
      </c>
      <c r="G68" s="6">
        <v>3.2</v>
      </c>
      <c r="H68" s="6">
        <v>37</v>
      </c>
      <c r="I68" s="7">
        <v>46673</v>
      </c>
    </row>
    <row r="69" spans="1:9" x14ac:dyDescent="0.25">
      <c r="A69" s="5">
        <v>45527</v>
      </c>
      <c r="B69" s="6" t="s">
        <v>44</v>
      </c>
      <c r="C69" s="6" t="s">
        <v>19</v>
      </c>
      <c r="D69" s="6">
        <v>1</v>
      </c>
      <c r="E69" s="6">
        <v>3</v>
      </c>
      <c r="F69" s="6">
        <v>0.9</v>
      </c>
      <c r="G69" s="6">
        <v>1.3</v>
      </c>
      <c r="H69" s="6">
        <v>51</v>
      </c>
      <c r="I69" s="7">
        <v>23519</v>
      </c>
    </row>
    <row r="70" spans="1:9" x14ac:dyDescent="0.25">
      <c r="A70" s="5">
        <v>45532</v>
      </c>
      <c r="B70" s="6" t="s">
        <v>44</v>
      </c>
      <c r="C70" s="6" t="s">
        <v>19</v>
      </c>
      <c r="D70" s="6">
        <v>0</v>
      </c>
      <c r="E70" s="6">
        <v>1</v>
      </c>
      <c r="F70" s="6">
        <v>0.1</v>
      </c>
      <c r="G70" s="6">
        <v>1.4</v>
      </c>
      <c r="H70" s="6">
        <v>50</v>
      </c>
      <c r="I70" s="7">
        <v>48644</v>
      </c>
    </row>
    <row r="71" spans="1:9" x14ac:dyDescent="0.25">
      <c r="A71" s="5">
        <v>45535</v>
      </c>
      <c r="B71" s="6" t="s">
        <v>43</v>
      </c>
      <c r="C71" s="6" t="s">
        <v>4</v>
      </c>
      <c r="D71" s="6">
        <v>1</v>
      </c>
      <c r="E71" s="6">
        <v>1</v>
      </c>
      <c r="F71" s="6">
        <v>1.1000000000000001</v>
      </c>
      <c r="G71" s="6">
        <v>0.5</v>
      </c>
      <c r="H71" s="6">
        <v>58</v>
      </c>
      <c r="I71" s="7">
        <v>43857</v>
      </c>
    </row>
    <row r="72" spans="1:9" x14ac:dyDescent="0.25">
      <c r="A72" s="5">
        <v>45550</v>
      </c>
      <c r="B72" s="6" t="s">
        <v>44</v>
      </c>
      <c r="C72" s="6" t="s">
        <v>19</v>
      </c>
      <c r="D72" s="6">
        <v>0</v>
      </c>
      <c r="E72" s="6">
        <v>3</v>
      </c>
      <c r="F72" s="6">
        <v>0.1</v>
      </c>
      <c r="G72" s="6">
        <v>3.1</v>
      </c>
      <c r="H72" s="6">
        <v>47</v>
      </c>
      <c r="I72" s="7">
        <v>61752</v>
      </c>
    </row>
    <row r="73" spans="1:9" x14ac:dyDescent="0.25">
      <c r="A73" s="5">
        <v>45556</v>
      </c>
      <c r="B73" s="6" t="s">
        <v>43</v>
      </c>
      <c r="C73" s="6" t="s">
        <v>18</v>
      </c>
      <c r="D73" s="6">
        <v>2</v>
      </c>
      <c r="E73" s="6">
        <v>0</v>
      </c>
      <c r="F73" s="6">
        <v>0.4</v>
      </c>
      <c r="G73" s="6">
        <v>0.4</v>
      </c>
      <c r="H73" s="6">
        <v>33</v>
      </c>
      <c r="I73" s="7">
        <v>40896</v>
      </c>
    </row>
    <row r="74" spans="1:9" x14ac:dyDescent="0.25">
      <c r="A74" s="5">
        <v>45559</v>
      </c>
      <c r="B74" s="6" t="s">
        <v>43</v>
      </c>
      <c r="C74" s="6" t="s">
        <v>4</v>
      </c>
      <c r="D74" s="6">
        <v>0</v>
      </c>
      <c r="E74" s="6">
        <v>0</v>
      </c>
      <c r="F74" s="6">
        <v>0.7</v>
      </c>
      <c r="G74" s="6">
        <v>0.5</v>
      </c>
      <c r="H74" s="6">
        <v>52</v>
      </c>
      <c r="I74" s="7">
        <v>40425</v>
      </c>
    </row>
    <row r="75" spans="1:9" x14ac:dyDescent="0.25">
      <c r="A75" s="5">
        <v>45563</v>
      </c>
      <c r="B75" s="6" t="s">
        <v>44</v>
      </c>
      <c r="C75" s="6" t="s">
        <v>19</v>
      </c>
      <c r="D75" s="6">
        <v>0</v>
      </c>
      <c r="E75" s="6">
        <v>3</v>
      </c>
      <c r="F75" s="6">
        <v>0.8</v>
      </c>
      <c r="G75" s="6">
        <v>3.4</v>
      </c>
      <c r="H75" s="6">
        <v>39</v>
      </c>
      <c r="I75" s="7">
        <v>32332</v>
      </c>
    </row>
    <row r="76" spans="1:9" x14ac:dyDescent="0.25">
      <c r="A76" s="5">
        <v>45569</v>
      </c>
      <c r="B76" s="6" t="s">
        <v>44</v>
      </c>
      <c r="C76" s="6" t="s">
        <v>4</v>
      </c>
      <c r="D76" s="6">
        <v>0</v>
      </c>
      <c r="E76" s="6">
        <v>0</v>
      </c>
      <c r="F76" s="6">
        <v>0.5</v>
      </c>
      <c r="G76" s="6">
        <v>0.8</v>
      </c>
      <c r="H76" s="6">
        <v>41</v>
      </c>
      <c r="I76" s="7">
        <v>10958</v>
      </c>
    </row>
    <row r="77" spans="1:9" x14ac:dyDescent="0.25">
      <c r="A77" s="5">
        <v>45586</v>
      </c>
      <c r="B77" s="6" t="s">
        <v>43</v>
      </c>
      <c r="C77" s="6" t="s">
        <v>19</v>
      </c>
      <c r="D77" s="6">
        <v>2</v>
      </c>
      <c r="E77" s="6">
        <v>3</v>
      </c>
      <c r="F77" s="6">
        <v>1.6</v>
      </c>
      <c r="G77" s="6">
        <v>1.2</v>
      </c>
      <c r="H77" s="6">
        <v>48</v>
      </c>
      <c r="I77" s="7">
        <v>42453</v>
      </c>
    </row>
    <row r="78" spans="1:9" x14ac:dyDescent="0.25">
      <c r="A78" s="5">
        <v>45592</v>
      </c>
      <c r="B78" s="6" t="s">
        <v>44</v>
      </c>
      <c r="C78" s="6" t="s">
        <v>4</v>
      </c>
      <c r="D78" s="6">
        <v>1</v>
      </c>
      <c r="E78" s="6">
        <v>1</v>
      </c>
      <c r="F78" s="6">
        <v>0.7</v>
      </c>
      <c r="G78" s="6">
        <v>2.2000000000000002</v>
      </c>
      <c r="H78" s="6">
        <v>36</v>
      </c>
      <c r="I78" s="7">
        <v>12412</v>
      </c>
    </row>
    <row r="79" spans="1:9" x14ac:dyDescent="0.25">
      <c r="A79" s="5">
        <v>45598</v>
      </c>
      <c r="B79" s="6" t="s">
        <v>43</v>
      </c>
      <c r="C79" s="6"/>
      <c r="D79" s="6"/>
      <c r="E79" s="6"/>
      <c r="F79" s="6"/>
      <c r="G79" s="6"/>
      <c r="H79" s="6"/>
      <c r="I79" s="6"/>
    </row>
    <row r="80" spans="1:9" x14ac:dyDescent="0.25">
      <c r="A80" s="5">
        <v>45619</v>
      </c>
      <c r="B80" s="6" t="s">
        <v>43</v>
      </c>
      <c r="C80" s="6" t="s">
        <v>18</v>
      </c>
      <c r="D80" s="6">
        <v>4</v>
      </c>
      <c r="E80" s="6">
        <v>2</v>
      </c>
      <c r="F80" s="6">
        <v>1.5</v>
      </c>
      <c r="G80" s="6">
        <v>1.3</v>
      </c>
      <c r="H80" s="6">
        <v>48</v>
      </c>
      <c r="I80" s="7">
        <v>43975</v>
      </c>
    </row>
    <row r="81" spans="1:9" x14ac:dyDescent="0.25">
      <c r="A81" s="5">
        <v>45622</v>
      </c>
      <c r="B81" s="6" t="s">
        <v>44</v>
      </c>
      <c r="C81" s="6" t="s">
        <v>18</v>
      </c>
      <c r="D81" s="6">
        <v>1</v>
      </c>
      <c r="E81" s="6">
        <v>0</v>
      </c>
      <c r="F81" s="6"/>
      <c r="G81" s="6"/>
      <c r="H81" s="6">
        <v>60</v>
      </c>
      <c r="I81" s="6"/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C986-BDDE-462D-927E-698C715297B9}">
  <dimension ref="A1:Q50"/>
  <sheetViews>
    <sheetView workbookViewId="0">
      <selection activeCell="K22" sqref="K22"/>
    </sheetView>
  </sheetViews>
  <sheetFormatPr defaultRowHeight="15" x14ac:dyDescent="0.25"/>
  <cols>
    <col min="1" max="1" width="14.28515625" style="4" customWidth="1"/>
    <col min="4" max="4" width="8.85546875" customWidth="1"/>
  </cols>
  <sheetData>
    <row r="1" spans="1:17" x14ac:dyDescent="0.25">
      <c r="A1" s="4" t="s">
        <v>560</v>
      </c>
    </row>
    <row r="2" spans="1:17" x14ac:dyDescent="0.25">
      <c r="A2" s="4" t="s">
        <v>561</v>
      </c>
    </row>
    <row r="3" spans="1:17" x14ac:dyDescent="0.25">
      <c r="A3" s="4" t="s">
        <v>562</v>
      </c>
    </row>
    <row r="4" spans="1:17" x14ac:dyDescent="0.25">
      <c r="A4" s="4" t="s">
        <v>563</v>
      </c>
    </row>
    <row r="7" spans="1:17" x14ac:dyDescent="0.25">
      <c r="A7" s="4" t="s">
        <v>0</v>
      </c>
      <c r="B7" t="s">
        <v>53</v>
      </c>
      <c r="C7" t="s">
        <v>54</v>
      </c>
      <c r="D7" t="s">
        <v>20</v>
      </c>
      <c r="E7" t="s">
        <v>21</v>
      </c>
      <c r="F7" t="s">
        <v>55</v>
      </c>
      <c r="G7" t="s">
        <v>56</v>
      </c>
      <c r="H7" t="s">
        <v>57</v>
      </c>
      <c r="I7" t="s">
        <v>24</v>
      </c>
    </row>
    <row r="8" spans="1:17" x14ac:dyDescent="0.25">
      <c r="A8" s="5">
        <v>45521</v>
      </c>
      <c r="B8" s="6" t="s">
        <v>43</v>
      </c>
      <c r="C8" s="6" t="s">
        <v>19</v>
      </c>
      <c r="D8" s="6">
        <v>1</v>
      </c>
      <c r="E8" s="6">
        <v>2</v>
      </c>
      <c r="F8" s="6">
        <v>1</v>
      </c>
      <c r="G8" s="6">
        <v>3.2</v>
      </c>
      <c r="H8" s="6">
        <v>37</v>
      </c>
      <c r="I8" s="7">
        <v>46673</v>
      </c>
      <c r="P8" s="1"/>
    </row>
    <row r="9" spans="1:17" x14ac:dyDescent="0.25">
      <c r="A9" s="5">
        <v>45527</v>
      </c>
      <c r="B9" s="6" t="s">
        <v>44</v>
      </c>
      <c r="C9" s="6" t="s">
        <v>19</v>
      </c>
      <c r="D9" s="6">
        <v>1</v>
      </c>
      <c r="E9" s="6">
        <v>3</v>
      </c>
      <c r="F9" s="6">
        <v>0.9</v>
      </c>
      <c r="G9" s="6">
        <v>1.3</v>
      </c>
      <c r="H9" s="6">
        <v>51</v>
      </c>
      <c r="I9" s="7">
        <v>23519</v>
      </c>
      <c r="P9" s="1"/>
      <c r="Q9" s="1"/>
    </row>
    <row r="10" spans="1:17" x14ac:dyDescent="0.25">
      <c r="A10" s="5">
        <v>45532</v>
      </c>
      <c r="B10" s="6" t="s">
        <v>44</v>
      </c>
      <c r="C10" s="6" t="s">
        <v>19</v>
      </c>
      <c r="D10" s="6">
        <v>0</v>
      </c>
      <c r="E10" s="6">
        <v>1</v>
      </c>
      <c r="F10" s="6">
        <v>0.1</v>
      </c>
      <c r="G10" s="6">
        <v>1.4</v>
      </c>
      <c r="H10" s="6">
        <v>50</v>
      </c>
      <c r="I10" s="7">
        <v>48644</v>
      </c>
      <c r="P10" s="1"/>
    </row>
    <row r="11" spans="1:17" x14ac:dyDescent="0.25">
      <c r="A11" s="5">
        <v>45535</v>
      </c>
      <c r="B11" s="6" t="s">
        <v>43</v>
      </c>
      <c r="C11" s="6" t="s">
        <v>4</v>
      </c>
      <c r="D11" s="6">
        <v>1</v>
      </c>
      <c r="E11" s="6">
        <v>1</v>
      </c>
      <c r="F11" s="6">
        <v>1.1000000000000001</v>
      </c>
      <c r="G11" s="6">
        <v>0.5</v>
      </c>
      <c r="H11" s="6">
        <v>58</v>
      </c>
      <c r="I11" s="7">
        <v>43857</v>
      </c>
      <c r="P11" s="1"/>
      <c r="Q11" s="1"/>
    </row>
    <row r="12" spans="1:17" x14ac:dyDescent="0.25">
      <c r="A12" s="5">
        <v>45550</v>
      </c>
      <c r="B12" s="6" t="s">
        <v>44</v>
      </c>
      <c r="C12" s="6" t="s">
        <v>19</v>
      </c>
      <c r="D12" s="6">
        <v>0</v>
      </c>
      <c r="E12" s="6">
        <v>3</v>
      </c>
      <c r="F12" s="6">
        <v>0.1</v>
      </c>
      <c r="G12" s="6">
        <v>3.1</v>
      </c>
      <c r="H12" s="6">
        <v>47</v>
      </c>
      <c r="I12" s="7">
        <v>61752</v>
      </c>
      <c r="P12" s="1"/>
      <c r="Q12" s="1"/>
    </row>
    <row r="13" spans="1:17" x14ac:dyDescent="0.25">
      <c r="A13" s="5">
        <v>45556</v>
      </c>
      <c r="B13" s="6" t="s">
        <v>43</v>
      </c>
      <c r="C13" s="6" t="s">
        <v>18</v>
      </c>
      <c r="D13" s="6">
        <v>2</v>
      </c>
      <c r="E13" s="6">
        <v>0</v>
      </c>
      <c r="F13" s="6">
        <v>0.4</v>
      </c>
      <c r="G13" s="6">
        <v>0.4</v>
      </c>
      <c r="H13" s="6">
        <v>33</v>
      </c>
      <c r="I13" s="7">
        <v>40896</v>
      </c>
      <c r="Q13" s="1"/>
    </row>
    <row r="14" spans="1:17" x14ac:dyDescent="0.25">
      <c r="A14" s="5">
        <v>45559</v>
      </c>
      <c r="B14" s="6" t="s">
        <v>43</v>
      </c>
      <c r="C14" s="6" t="s">
        <v>4</v>
      </c>
      <c r="D14" s="6">
        <v>0</v>
      </c>
      <c r="E14" s="6">
        <v>0</v>
      </c>
      <c r="F14" s="6">
        <v>0.7</v>
      </c>
      <c r="G14" s="6">
        <v>0.5</v>
      </c>
      <c r="H14" s="6">
        <v>52</v>
      </c>
      <c r="I14" s="7">
        <v>40425</v>
      </c>
      <c r="P14" s="1"/>
      <c r="Q14" s="1"/>
    </row>
    <row r="15" spans="1:17" x14ac:dyDescent="0.25">
      <c r="A15" s="5">
        <v>45563</v>
      </c>
      <c r="B15" s="6" t="s">
        <v>44</v>
      </c>
      <c r="C15" s="6" t="s">
        <v>19</v>
      </c>
      <c r="D15" s="6">
        <v>0</v>
      </c>
      <c r="E15" s="6">
        <v>3</v>
      </c>
      <c r="F15" s="6">
        <v>0.8</v>
      </c>
      <c r="G15" s="6">
        <v>3.4</v>
      </c>
      <c r="H15" s="6">
        <v>39</v>
      </c>
      <c r="I15" s="7">
        <v>32332</v>
      </c>
      <c r="P15" s="1"/>
    </row>
    <row r="16" spans="1:17" x14ac:dyDescent="0.25">
      <c r="A16" s="5">
        <v>45569</v>
      </c>
      <c r="B16" s="6" t="s">
        <v>44</v>
      </c>
      <c r="C16" s="6" t="s">
        <v>4</v>
      </c>
      <c r="D16" s="6">
        <v>0</v>
      </c>
      <c r="E16" s="6">
        <v>0</v>
      </c>
      <c r="F16" s="6">
        <v>0.5</v>
      </c>
      <c r="G16" s="6">
        <v>0.8</v>
      </c>
      <c r="H16" s="6">
        <v>41</v>
      </c>
      <c r="I16" s="7">
        <v>10958</v>
      </c>
      <c r="P16" s="1"/>
    </row>
    <row r="17" spans="1:17" x14ac:dyDescent="0.25">
      <c r="A17" s="5">
        <v>45586</v>
      </c>
      <c r="B17" s="6" t="s">
        <v>43</v>
      </c>
      <c r="C17" s="6" t="s">
        <v>19</v>
      </c>
      <c r="D17" s="6">
        <v>2</v>
      </c>
      <c r="E17" s="6">
        <v>3</v>
      </c>
      <c r="F17" s="6">
        <v>1.6</v>
      </c>
      <c r="G17" s="6">
        <v>1.2</v>
      </c>
      <c r="H17" s="6">
        <v>48</v>
      </c>
      <c r="I17" s="7">
        <v>42453</v>
      </c>
      <c r="P17" s="1"/>
    </row>
    <row r="18" spans="1:17" x14ac:dyDescent="0.25">
      <c r="A18" s="5">
        <v>45592</v>
      </c>
      <c r="B18" s="6" t="s">
        <v>44</v>
      </c>
      <c r="C18" s="6" t="s">
        <v>4</v>
      </c>
      <c r="D18" s="6">
        <v>1</v>
      </c>
      <c r="E18" s="6">
        <v>1</v>
      </c>
      <c r="F18" s="6">
        <v>0.7</v>
      </c>
      <c r="G18" s="6">
        <v>2.2000000000000002</v>
      </c>
      <c r="H18" s="6">
        <v>36</v>
      </c>
      <c r="I18" s="7">
        <v>12412</v>
      </c>
      <c r="P18" s="1"/>
      <c r="Q18" s="1"/>
    </row>
    <row r="19" spans="1:17" x14ac:dyDescent="0.25">
      <c r="A19" s="5">
        <v>45598</v>
      </c>
      <c r="B19" s="6" t="s">
        <v>43</v>
      </c>
      <c r="C19" s="6"/>
      <c r="D19" s="6"/>
      <c r="E19" s="6"/>
      <c r="F19" s="6"/>
      <c r="G19" s="6"/>
      <c r="H19" s="6"/>
      <c r="I19" s="6"/>
    </row>
    <row r="20" spans="1:17" x14ac:dyDescent="0.25">
      <c r="A20" s="5">
        <v>45619</v>
      </c>
      <c r="B20" s="6" t="s">
        <v>43</v>
      </c>
      <c r="C20" s="6" t="s">
        <v>18</v>
      </c>
      <c r="D20" s="6">
        <v>4</v>
      </c>
      <c r="E20" s="6">
        <v>2</v>
      </c>
      <c r="F20" s="6">
        <v>1.5</v>
      </c>
      <c r="G20" s="6">
        <v>1.3</v>
      </c>
      <c r="H20" s="6">
        <v>48</v>
      </c>
      <c r="I20" s="7">
        <v>43975</v>
      </c>
      <c r="P20" s="1"/>
    </row>
    <row r="21" spans="1:17" x14ac:dyDescent="0.25">
      <c r="A21" s="5">
        <v>45622</v>
      </c>
      <c r="B21" s="6" t="s">
        <v>44</v>
      </c>
      <c r="C21" s="6" t="s">
        <v>18</v>
      </c>
      <c r="D21" s="6">
        <v>1</v>
      </c>
      <c r="E21" s="6">
        <v>0</v>
      </c>
      <c r="F21" s="6"/>
      <c r="G21" s="6"/>
      <c r="H21" s="6">
        <v>60</v>
      </c>
      <c r="I21" s="6"/>
      <c r="Q21" s="1"/>
    </row>
    <row r="50" spans="1:1" x14ac:dyDescent="0.25">
      <c r="A50" s="4" t="s">
        <v>564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D015-5CFA-48D9-9946-17E1889E8279}">
  <dimension ref="A2:Q70"/>
  <sheetViews>
    <sheetView workbookViewId="0">
      <selection activeCell="O1" sqref="O1:U1048576"/>
    </sheetView>
  </sheetViews>
  <sheetFormatPr defaultRowHeight="15" x14ac:dyDescent="0.25"/>
  <cols>
    <col min="1" max="1" width="12.28515625" customWidth="1"/>
  </cols>
  <sheetData>
    <row r="2" spans="1:17" x14ac:dyDescent="0.25">
      <c r="A2" t="s">
        <v>0</v>
      </c>
      <c r="B2" t="s">
        <v>1</v>
      </c>
      <c r="C2" t="s">
        <v>16</v>
      </c>
      <c r="D2" t="s">
        <v>51</v>
      </c>
      <c r="E2" t="s">
        <v>52</v>
      </c>
      <c r="F2" t="s">
        <v>53</v>
      </c>
      <c r="G2" t="s">
        <v>54</v>
      </c>
      <c r="H2" t="s">
        <v>20</v>
      </c>
      <c r="I2" t="s">
        <v>21</v>
      </c>
      <c r="J2" t="s">
        <v>45</v>
      </c>
      <c r="K2" t="s">
        <v>55</v>
      </c>
      <c r="L2" t="s">
        <v>56</v>
      </c>
      <c r="M2" t="s">
        <v>57</v>
      </c>
      <c r="N2" t="s">
        <v>24</v>
      </c>
    </row>
    <row r="3" spans="1:17" x14ac:dyDescent="0.25">
      <c r="A3" s="1">
        <v>42963</v>
      </c>
      <c r="B3" t="s">
        <v>171</v>
      </c>
      <c r="C3" t="s">
        <v>118</v>
      </c>
      <c r="D3" t="s">
        <v>172</v>
      </c>
      <c r="E3" t="s">
        <v>92</v>
      </c>
      <c r="F3" t="s">
        <v>44</v>
      </c>
      <c r="G3" t="s">
        <v>18</v>
      </c>
      <c r="H3">
        <v>2</v>
      </c>
      <c r="I3">
        <v>1</v>
      </c>
      <c r="J3" t="s">
        <v>173</v>
      </c>
      <c r="M3">
        <v>56</v>
      </c>
      <c r="N3" s="2">
        <v>12894</v>
      </c>
    </row>
    <row r="4" spans="1:17" x14ac:dyDescent="0.25">
      <c r="A4" s="1">
        <v>42966</v>
      </c>
      <c r="B4" t="s">
        <v>152</v>
      </c>
      <c r="C4" t="s">
        <v>58</v>
      </c>
      <c r="D4" t="s">
        <v>59</v>
      </c>
      <c r="E4" t="s">
        <v>64</v>
      </c>
      <c r="F4" t="s">
        <v>43</v>
      </c>
      <c r="G4" t="s">
        <v>4</v>
      </c>
      <c r="H4">
        <v>1</v>
      </c>
      <c r="I4">
        <v>1</v>
      </c>
      <c r="J4" t="s">
        <v>48</v>
      </c>
      <c r="K4">
        <v>2.4</v>
      </c>
      <c r="L4">
        <v>1.3</v>
      </c>
      <c r="M4">
        <v>62</v>
      </c>
      <c r="N4" s="2">
        <v>30487</v>
      </c>
      <c r="Q4" s="1"/>
    </row>
    <row r="5" spans="1:17" x14ac:dyDescent="0.25">
      <c r="A5" s="1">
        <v>42969</v>
      </c>
      <c r="B5" t="s">
        <v>156</v>
      </c>
      <c r="C5" t="s">
        <v>118</v>
      </c>
      <c r="D5" t="s">
        <v>172</v>
      </c>
      <c r="E5" t="s">
        <v>69</v>
      </c>
      <c r="F5" t="s">
        <v>43</v>
      </c>
      <c r="G5" t="s">
        <v>4</v>
      </c>
      <c r="H5">
        <v>2</v>
      </c>
      <c r="I5">
        <v>2</v>
      </c>
      <c r="J5" t="s">
        <v>173</v>
      </c>
      <c r="M5">
        <v>50</v>
      </c>
      <c r="N5" s="2">
        <v>34278</v>
      </c>
      <c r="P5" s="1"/>
    </row>
    <row r="6" spans="1:17" x14ac:dyDescent="0.25">
      <c r="A6" s="1">
        <v>42974</v>
      </c>
      <c r="B6" t="s">
        <v>174</v>
      </c>
      <c r="C6" t="s">
        <v>58</v>
      </c>
      <c r="D6" t="s">
        <v>61</v>
      </c>
      <c r="E6" t="s">
        <v>62</v>
      </c>
      <c r="F6" t="s">
        <v>44</v>
      </c>
      <c r="G6" t="s">
        <v>18</v>
      </c>
      <c r="H6">
        <v>1</v>
      </c>
      <c r="I6">
        <v>0</v>
      </c>
      <c r="J6" t="s">
        <v>12</v>
      </c>
      <c r="K6">
        <v>1.2</v>
      </c>
      <c r="L6">
        <v>1.8</v>
      </c>
      <c r="M6">
        <v>56</v>
      </c>
      <c r="N6" s="2">
        <v>10039</v>
      </c>
      <c r="Q6" s="1"/>
    </row>
    <row r="7" spans="1:17" x14ac:dyDescent="0.25">
      <c r="A7" s="1">
        <v>42987</v>
      </c>
      <c r="B7" t="s">
        <v>157</v>
      </c>
      <c r="C7" t="s">
        <v>58</v>
      </c>
      <c r="D7" t="s">
        <v>63</v>
      </c>
      <c r="E7" t="s">
        <v>64</v>
      </c>
      <c r="F7" t="s">
        <v>43</v>
      </c>
      <c r="G7" t="s">
        <v>18</v>
      </c>
      <c r="H7">
        <v>3</v>
      </c>
      <c r="I7">
        <v>0</v>
      </c>
      <c r="J7" t="s">
        <v>89</v>
      </c>
      <c r="K7">
        <v>3</v>
      </c>
      <c r="L7">
        <v>0.8</v>
      </c>
      <c r="M7">
        <v>59</v>
      </c>
      <c r="N7" s="2">
        <v>32469</v>
      </c>
      <c r="Q7" s="1"/>
    </row>
    <row r="8" spans="1:17" x14ac:dyDescent="0.25">
      <c r="A8" s="1">
        <v>42991</v>
      </c>
      <c r="B8" t="s">
        <v>163</v>
      </c>
      <c r="C8" t="s">
        <v>118</v>
      </c>
      <c r="D8" t="s">
        <v>119</v>
      </c>
      <c r="E8" t="s">
        <v>92</v>
      </c>
      <c r="F8" t="s">
        <v>44</v>
      </c>
      <c r="G8" t="s">
        <v>4</v>
      </c>
      <c r="H8">
        <v>2</v>
      </c>
      <c r="I8">
        <v>2</v>
      </c>
      <c r="J8" t="s">
        <v>175</v>
      </c>
      <c r="K8">
        <v>1.2</v>
      </c>
      <c r="L8">
        <v>2.4</v>
      </c>
      <c r="M8">
        <v>51</v>
      </c>
      <c r="N8" s="2">
        <v>52332</v>
      </c>
      <c r="P8" s="1"/>
      <c r="Q8" s="1"/>
    </row>
    <row r="9" spans="1:17" x14ac:dyDescent="0.25">
      <c r="A9" s="1">
        <v>42995</v>
      </c>
      <c r="B9" t="s">
        <v>153</v>
      </c>
      <c r="C9" t="s">
        <v>58</v>
      </c>
      <c r="D9" t="s">
        <v>66</v>
      </c>
      <c r="E9" t="s">
        <v>62</v>
      </c>
      <c r="F9" t="s">
        <v>44</v>
      </c>
      <c r="G9" t="s">
        <v>18</v>
      </c>
      <c r="H9">
        <v>1</v>
      </c>
      <c r="I9">
        <v>0</v>
      </c>
      <c r="J9" t="s">
        <v>5</v>
      </c>
      <c r="K9">
        <v>1.2</v>
      </c>
      <c r="L9">
        <v>1.7</v>
      </c>
      <c r="M9">
        <v>55</v>
      </c>
      <c r="N9" s="2">
        <v>11032</v>
      </c>
      <c r="P9" s="1"/>
      <c r="Q9" s="1"/>
    </row>
    <row r="10" spans="1:17" x14ac:dyDescent="0.25">
      <c r="A10" s="1">
        <v>42998</v>
      </c>
      <c r="B10" t="s">
        <v>176</v>
      </c>
      <c r="C10" t="s">
        <v>58</v>
      </c>
      <c r="D10" t="s">
        <v>68</v>
      </c>
      <c r="E10" t="s">
        <v>92</v>
      </c>
      <c r="F10" t="s">
        <v>43</v>
      </c>
      <c r="G10" t="s">
        <v>18</v>
      </c>
      <c r="H10">
        <v>1</v>
      </c>
      <c r="I10">
        <v>0</v>
      </c>
      <c r="J10" t="s">
        <v>6</v>
      </c>
      <c r="K10">
        <v>1.4</v>
      </c>
      <c r="L10">
        <v>0.4</v>
      </c>
      <c r="M10">
        <v>59</v>
      </c>
      <c r="N10" s="2">
        <v>35317</v>
      </c>
    </row>
    <row r="11" spans="1:17" x14ac:dyDescent="0.25">
      <c r="A11" s="1">
        <v>43001</v>
      </c>
      <c r="B11" t="s">
        <v>154</v>
      </c>
      <c r="C11" t="s">
        <v>58</v>
      </c>
      <c r="D11" t="s">
        <v>71</v>
      </c>
      <c r="E11" t="s">
        <v>64</v>
      </c>
      <c r="F11" t="s">
        <v>44</v>
      </c>
      <c r="G11" t="s">
        <v>19</v>
      </c>
      <c r="H11">
        <v>0</v>
      </c>
      <c r="I11">
        <v>2</v>
      </c>
      <c r="J11" t="s">
        <v>65</v>
      </c>
      <c r="K11">
        <v>0.5</v>
      </c>
      <c r="L11">
        <v>1.3</v>
      </c>
      <c r="M11">
        <v>61</v>
      </c>
      <c r="N11" s="2">
        <v>60823</v>
      </c>
      <c r="P11" s="1"/>
      <c r="Q11" s="1"/>
    </row>
    <row r="12" spans="1:17" x14ac:dyDescent="0.25">
      <c r="A12" s="1">
        <v>43004</v>
      </c>
      <c r="B12" t="s">
        <v>156</v>
      </c>
      <c r="C12" t="s">
        <v>118</v>
      </c>
      <c r="D12" t="s">
        <v>119</v>
      </c>
      <c r="E12" t="s">
        <v>69</v>
      </c>
      <c r="F12" t="s">
        <v>43</v>
      </c>
      <c r="G12" t="s">
        <v>18</v>
      </c>
      <c r="H12">
        <v>3</v>
      </c>
      <c r="I12">
        <v>0</v>
      </c>
      <c r="J12" t="s">
        <v>177</v>
      </c>
      <c r="K12">
        <v>3.9</v>
      </c>
      <c r="L12">
        <v>0.4</v>
      </c>
      <c r="M12">
        <v>68</v>
      </c>
      <c r="N12" s="2">
        <v>34705</v>
      </c>
      <c r="P12" s="1"/>
    </row>
    <row r="13" spans="1:17" x14ac:dyDescent="0.25">
      <c r="A13" s="1">
        <v>43008</v>
      </c>
      <c r="B13" t="s">
        <v>153</v>
      </c>
      <c r="C13" t="s">
        <v>58</v>
      </c>
      <c r="D13" t="s">
        <v>72</v>
      </c>
      <c r="E13" t="s">
        <v>64</v>
      </c>
      <c r="F13" t="s">
        <v>43</v>
      </c>
      <c r="G13" t="s">
        <v>18</v>
      </c>
      <c r="H13">
        <v>2</v>
      </c>
      <c r="I13">
        <v>0</v>
      </c>
      <c r="J13" t="s">
        <v>70</v>
      </c>
      <c r="K13">
        <v>2.2000000000000002</v>
      </c>
      <c r="L13">
        <v>0.4</v>
      </c>
      <c r="M13">
        <v>63</v>
      </c>
      <c r="N13" s="2">
        <v>34430</v>
      </c>
      <c r="P13" s="1"/>
      <c r="Q13" s="1"/>
    </row>
    <row r="14" spans="1:17" x14ac:dyDescent="0.25">
      <c r="A14" s="1">
        <v>43022</v>
      </c>
      <c r="B14" t="s">
        <v>154</v>
      </c>
      <c r="C14" t="s">
        <v>58</v>
      </c>
      <c r="D14" t="s">
        <v>74</v>
      </c>
      <c r="E14" t="s">
        <v>64</v>
      </c>
      <c r="F14" t="s">
        <v>44</v>
      </c>
      <c r="G14" t="s">
        <v>19</v>
      </c>
      <c r="H14">
        <v>0</v>
      </c>
      <c r="I14">
        <v>1</v>
      </c>
      <c r="J14" t="s">
        <v>73</v>
      </c>
      <c r="K14">
        <v>2.2999999999999998</v>
      </c>
      <c r="L14">
        <v>1.2</v>
      </c>
      <c r="M14">
        <v>58</v>
      </c>
      <c r="N14" s="2">
        <v>40197</v>
      </c>
    </row>
    <row r="15" spans="1:17" x14ac:dyDescent="0.25">
      <c r="A15" s="1">
        <v>43025</v>
      </c>
      <c r="B15" t="s">
        <v>171</v>
      </c>
      <c r="C15" t="s">
        <v>118</v>
      </c>
      <c r="D15" t="s">
        <v>119</v>
      </c>
      <c r="E15" t="s">
        <v>69</v>
      </c>
      <c r="F15" t="s">
        <v>44</v>
      </c>
      <c r="G15" t="s">
        <v>19</v>
      </c>
      <c r="H15">
        <v>1</v>
      </c>
      <c r="I15">
        <v>5</v>
      </c>
      <c r="J15" t="s">
        <v>178</v>
      </c>
      <c r="K15">
        <v>1.3</v>
      </c>
      <c r="L15">
        <v>1.7</v>
      </c>
      <c r="M15">
        <v>62</v>
      </c>
      <c r="N15" s="2">
        <v>44307</v>
      </c>
      <c r="P15" s="1"/>
    </row>
    <row r="16" spans="1:17" x14ac:dyDescent="0.25">
      <c r="A16" s="1">
        <v>43029</v>
      </c>
      <c r="B16" t="s">
        <v>157</v>
      </c>
      <c r="C16" t="s">
        <v>58</v>
      </c>
      <c r="D16" t="s">
        <v>75</v>
      </c>
      <c r="E16" t="s">
        <v>64</v>
      </c>
      <c r="F16" t="s">
        <v>44</v>
      </c>
      <c r="G16" t="s">
        <v>19</v>
      </c>
      <c r="H16">
        <v>0</v>
      </c>
      <c r="I16">
        <v>4</v>
      </c>
      <c r="J16" t="s">
        <v>3</v>
      </c>
      <c r="K16">
        <v>0.8</v>
      </c>
      <c r="L16">
        <v>2.2000000000000002</v>
      </c>
      <c r="M16">
        <v>48</v>
      </c>
      <c r="N16" s="2">
        <v>44307</v>
      </c>
      <c r="Q16" s="1"/>
    </row>
    <row r="17" spans="1:17" x14ac:dyDescent="0.25">
      <c r="A17" s="1">
        <v>43032</v>
      </c>
      <c r="B17" t="s">
        <v>166</v>
      </c>
      <c r="C17" t="s">
        <v>76</v>
      </c>
      <c r="D17" t="s">
        <v>77</v>
      </c>
      <c r="E17" t="s">
        <v>69</v>
      </c>
      <c r="F17" t="s">
        <v>44</v>
      </c>
      <c r="G17" t="s">
        <v>18</v>
      </c>
      <c r="H17">
        <v>3</v>
      </c>
      <c r="I17">
        <v>0</v>
      </c>
      <c r="J17" t="s">
        <v>127</v>
      </c>
      <c r="N17" s="2">
        <v>7550</v>
      </c>
    </row>
    <row r="18" spans="1:17" x14ac:dyDescent="0.25">
      <c r="A18" s="1">
        <v>43036</v>
      </c>
      <c r="B18" t="s">
        <v>179</v>
      </c>
      <c r="C18" t="s">
        <v>58</v>
      </c>
      <c r="D18" t="s">
        <v>79</v>
      </c>
      <c r="E18" t="s">
        <v>64</v>
      </c>
      <c r="F18" t="s">
        <v>43</v>
      </c>
      <c r="G18" t="s">
        <v>18</v>
      </c>
      <c r="H18">
        <v>2</v>
      </c>
      <c r="I18">
        <v>1</v>
      </c>
      <c r="J18" t="s">
        <v>82</v>
      </c>
      <c r="K18">
        <v>1.7</v>
      </c>
      <c r="L18">
        <v>1.2</v>
      </c>
      <c r="M18">
        <v>60</v>
      </c>
      <c r="N18" s="2">
        <v>32097</v>
      </c>
      <c r="P18" s="1"/>
    </row>
    <row r="19" spans="1:17" x14ac:dyDescent="0.25">
      <c r="A19" s="1">
        <v>43040</v>
      </c>
      <c r="B19" t="s">
        <v>180</v>
      </c>
      <c r="C19" t="s">
        <v>118</v>
      </c>
      <c r="D19" t="s">
        <v>119</v>
      </c>
      <c r="E19" t="s">
        <v>92</v>
      </c>
      <c r="F19" t="s">
        <v>43</v>
      </c>
      <c r="G19" t="s">
        <v>18</v>
      </c>
      <c r="H19">
        <v>2</v>
      </c>
      <c r="I19">
        <v>1</v>
      </c>
      <c r="J19" t="s">
        <v>178</v>
      </c>
      <c r="K19">
        <v>0.9</v>
      </c>
      <c r="L19">
        <v>1.2</v>
      </c>
      <c r="M19">
        <v>57</v>
      </c>
      <c r="N19" s="2">
        <v>38002</v>
      </c>
    </row>
    <row r="20" spans="1:17" x14ac:dyDescent="0.25">
      <c r="A20" s="1">
        <v>43043</v>
      </c>
      <c r="B20" t="s">
        <v>180</v>
      </c>
      <c r="C20" t="s">
        <v>58</v>
      </c>
      <c r="D20" t="s">
        <v>81</v>
      </c>
      <c r="E20" t="s">
        <v>64</v>
      </c>
      <c r="F20" t="s">
        <v>44</v>
      </c>
      <c r="G20" t="s">
        <v>19</v>
      </c>
      <c r="H20">
        <v>1</v>
      </c>
      <c r="I20">
        <v>2</v>
      </c>
      <c r="J20" t="s">
        <v>13</v>
      </c>
      <c r="K20">
        <v>0.6</v>
      </c>
      <c r="L20">
        <v>2.1</v>
      </c>
      <c r="M20">
        <v>48</v>
      </c>
      <c r="N20" s="2">
        <v>70723</v>
      </c>
      <c r="Q20" s="1"/>
    </row>
    <row r="21" spans="1:17" x14ac:dyDescent="0.25">
      <c r="A21" s="1">
        <v>43057</v>
      </c>
      <c r="B21" t="s">
        <v>157</v>
      </c>
      <c r="C21" t="s">
        <v>58</v>
      </c>
      <c r="D21" t="s">
        <v>83</v>
      </c>
      <c r="E21" t="s">
        <v>64</v>
      </c>
      <c r="F21" t="s">
        <v>43</v>
      </c>
      <c r="G21" t="s">
        <v>18</v>
      </c>
      <c r="H21">
        <v>2</v>
      </c>
      <c r="I21">
        <v>1</v>
      </c>
      <c r="J21" t="s">
        <v>50</v>
      </c>
      <c r="K21">
        <v>1.3</v>
      </c>
      <c r="L21">
        <v>1.8</v>
      </c>
      <c r="M21">
        <v>52</v>
      </c>
      <c r="N21" s="2">
        <v>35030</v>
      </c>
      <c r="Q21" s="1"/>
    </row>
    <row r="22" spans="1:17" x14ac:dyDescent="0.25">
      <c r="A22" s="1">
        <v>43060</v>
      </c>
      <c r="B22" t="s">
        <v>156</v>
      </c>
      <c r="C22" t="s">
        <v>118</v>
      </c>
      <c r="D22" t="s">
        <v>119</v>
      </c>
      <c r="E22" t="s">
        <v>69</v>
      </c>
      <c r="F22" t="s">
        <v>43</v>
      </c>
      <c r="G22" t="s">
        <v>4</v>
      </c>
      <c r="H22">
        <v>3</v>
      </c>
      <c r="I22">
        <v>3</v>
      </c>
      <c r="J22" t="s">
        <v>175</v>
      </c>
      <c r="K22">
        <v>1.9</v>
      </c>
      <c r="L22">
        <v>2.2999999999999998</v>
      </c>
      <c r="M22">
        <v>70</v>
      </c>
      <c r="N22" s="2">
        <v>39495</v>
      </c>
      <c r="P22" s="1"/>
      <c r="Q22" s="1"/>
    </row>
    <row r="23" spans="1:17" x14ac:dyDescent="0.25">
      <c r="A23" s="1">
        <v>43065</v>
      </c>
      <c r="B23" t="s">
        <v>157</v>
      </c>
      <c r="C23" t="s">
        <v>58</v>
      </c>
      <c r="D23" t="s">
        <v>84</v>
      </c>
      <c r="E23" t="s">
        <v>62</v>
      </c>
      <c r="F23" t="s">
        <v>44</v>
      </c>
      <c r="G23" t="s">
        <v>18</v>
      </c>
      <c r="H23">
        <v>3</v>
      </c>
      <c r="I23">
        <v>2</v>
      </c>
      <c r="J23" t="s">
        <v>10</v>
      </c>
      <c r="K23">
        <v>1.6</v>
      </c>
      <c r="L23">
        <v>2.1</v>
      </c>
      <c r="M23">
        <v>54</v>
      </c>
      <c r="N23" s="2">
        <v>18698</v>
      </c>
    </row>
    <row r="24" spans="1:17" x14ac:dyDescent="0.25">
      <c r="A24" s="1">
        <v>43068</v>
      </c>
      <c r="B24" t="s">
        <v>166</v>
      </c>
      <c r="C24" t="s">
        <v>76</v>
      </c>
      <c r="D24" t="s">
        <v>77</v>
      </c>
      <c r="E24" t="s">
        <v>92</v>
      </c>
      <c r="F24" t="s">
        <v>43</v>
      </c>
      <c r="G24" t="s">
        <v>18</v>
      </c>
      <c r="H24">
        <v>4</v>
      </c>
      <c r="I24">
        <v>0</v>
      </c>
      <c r="J24" t="s">
        <v>127</v>
      </c>
      <c r="N24" s="2">
        <v>11678</v>
      </c>
    </row>
    <row r="25" spans="1:17" x14ac:dyDescent="0.25">
      <c r="A25" s="1">
        <v>43071</v>
      </c>
      <c r="B25" t="s">
        <v>157</v>
      </c>
      <c r="C25" t="s">
        <v>58</v>
      </c>
      <c r="D25" t="s">
        <v>86</v>
      </c>
      <c r="E25" t="s">
        <v>64</v>
      </c>
      <c r="F25" t="s">
        <v>43</v>
      </c>
      <c r="G25" t="s">
        <v>18</v>
      </c>
      <c r="H25">
        <v>2</v>
      </c>
      <c r="I25">
        <v>0</v>
      </c>
      <c r="J25" t="s">
        <v>95</v>
      </c>
      <c r="K25">
        <v>1.2</v>
      </c>
      <c r="L25">
        <v>0.9</v>
      </c>
      <c r="M25">
        <v>57</v>
      </c>
      <c r="N25" s="2">
        <v>32017</v>
      </c>
      <c r="P25" s="1"/>
      <c r="Q25" s="1"/>
    </row>
    <row r="26" spans="1:17" x14ac:dyDescent="0.25">
      <c r="A26" s="1">
        <v>43075</v>
      </c>
      <c r="B26" t="s">
        <v>156</v>
      </c>
      <c r="C26" t="s">
        <v>118</v>
      </c>
      <c r="D26" t="s">
        <v>119</v>
      </c>
      <c r="E26" t="s">
        <v>92</v>
      </c>
      <c r="F26" t="s">
        <v>44</v>
      </c>
      <c r="G26" t="s">
        <v>4</v>
      </c>
      <c r="H26">
        <v>1</v>
      </c>
      <c r="I26">
        <v>1</v>
      </c>
      <c r="J26" t="s">
        <v>177</v>
      </c>
      <c r="K26">
        <v>1.7</v>
      </c>
      <c r="L26">
        <v>0.8</v>
      </c>
      <c r="M26">
        <v>72</v>
      </c>
      <c r="N26" s="2">
        <v>11976</v>
      </c>
      <c r="P26" s="1"/>
    </row>
    <row r="27" spans="1:17" x14ac:dyDescent="0.25">
      <c r="A27" s="1">
        <v>43078</v>
      </c>
      <c r="B27" t="s">
        <v>153</v>
      </c>
      <c r="C27" t="s">
        <v>58</v>
      </c>
      <c r="D27" t="s">
        <v>87</v>
      </c>
      <c r="E27" t="s">
        <v>64</v>
      </c>
      <c r="F27" t="s">
        <v>44</v>
      </c>
      <c r="G27" t="s">
        <v>19</v>
      </c>
      <c r="H27">
        <v>0</v>
      </c>
      <c r="I27">
        <v>5</v>
      </c>
      <c r="J27" t="s">
        <v>8</v>
      </c>
      <c r="K27">
        <v>0.4</v>
      </c>
      <c r="L27">
        <v>3.2</v>
      </c>
      <c r="M27">
        <v>41</v>
      </c>
      <c r="N27" s="2">
        <v>76924</v>
      </c>
      <c r="P27" s="1"/>
      <c r="Q27" s="1"/>
    </row>
    <row r="28" spans="1:17" x14ac:dyDescent="0.25">
      <c r="A28" s="1">
        <v>43084</v>
      </c>
      <c r="B28" t="s">
        <v>181</v>
      </c>
      <c r="C28" t="s">
        <v>58</v>
      </c>
      <c r="D28" t="s">
        <v>88</v>
      </c>
      <c r="E28" t="s">
        <v>60</v>
      </c>
      <c r="F28" t="s">
        <v>43</v>
      </c>
      <c r="G28" t="s">
        <v>4</v>
      </c>
      <c r="H28">
        <v>0</v>
      </c>
      <c r="I28">
        <v>0</v>
      </c>
      <c r="J28" t="s">
        <v>67</v>
      </c>
      <c r="K28">
        <v>2</v>
      </c>
      <c r="L28">
        <v>0.9</v>
      </c>
      <c r="M28">
        <v>61</v>
      </c>
      <c r="N28" s="2">
        <v>25934</v>
      </c>
      <c r="P28" s="1"/>
    </row>
    <row r="29" spans="1:17" x14ac:dyDescent="0.25">
      <c r="A29" s="1">
        <v>43089</v>
      </c>
      <c r="B29" t="s">
        <v>160</v>
      </c>
      <c r="C29" t="s">
        <v>58</v>
      </c>
      <c r="D29" t="s">
        <v>90</v>
      </c>
      <c r="E29" t="s">
        <v>92</v>
      </c>
      <c r="F29" t="s">
        <v>44</v>
      </c>
      <c r="G29" t="s">
        <v>19</v>
      </c>
      <c r="H29">
        <v>1</v>
      </c>
      <c r="I29">
        <v>3</v>
      </c>
      <c r="J29" t="s">
        <v>49</v>
      </c>
      <c r="K29">
        <v>0.4</v>
      </c>
      <c r="L29">
        <v>1.6</v>
      </c>
      <c r="M29">
        <v>50</v>
      </c>
      <c r="N29" s="2">
        <v>17205</v>
      </c>
      <c r="Q29" s="1"/>
    </row>
    <row r="30" spans="1:17" x14ac:dyDescent="0.25">
      <c r="A30" s="1">
        <v>43103</v>
      </c>
      <c r="B30" t="s">
        <v>181</v>
      </c>
      <c r="C30" t="s">
        <v>76</v>
      </c>
      <c r="D30" t="s">
        <v>91</v>
      </c>
      <c r="E30" t="s">
        <v>92</v>
      </c>
      <c r="F30" t="s">
        <v>44</v>
      </c>
      <c r="G30" t="s">
        <v>18</v>
      </c>
      <c r="H30">
        <v>2</v>
      </c>
      <c r="I30">
        <v>0</v>
      </c>
      <c r="J30" t="s">
        <v>125</v>
      </c>
      <c r="N30" s="2">
        <v>17692</v>
      </c>
    </row>
    <row r="31" spans="1:17" x14ac:dyDescent="0.25">
      <c r="A31" s="1">
        <v>43106</v>
      </c>
      <c r="B31" t="s">
        <v>156</v>
      </c>
      <c r="C31" t="s">
        <v>58</v>
      </c>
      <c r="D31" t="s">
        <v>93</v>
      </c>
      <c r="E31" t="s">
        <v>64</v>
      </c>
      <c r="F31" t="s">
        <v>43</v>
      </c>
      <c r="G31" t="s">
        <v>19</v>
      </c>
      <c r="H31">
        <v>3</v>
      </c>
      <c r="I31">
        <v>5</v>
      </c>
      <c r="J31" t="s">
        <v>11</v>
      </c>
      <c r="K31">
        <v>1.8</v>
      </c>
      <c r="L31">
        <v>1.5</v>
      </c>
      <c r="M31">
        <v>50</v>
      </c>
      <c r="N31" s="2">
        <v>40282</v>
      </c>
      <c r="P31" s="1"/>
    </row>
    <row r="32" spans="1:17" x14ac:dyDescent="0.25">
      <c r="A32" s="1">
        <v>43111</v>
      </c>
      <c r="B32" t="s">
        <v>166</v>
      </c>
      <c r="C32" t="s">
        <v>76</v>
      </c>
      <c r="D32" t="s">
        <v>91</v>
      </c>
      <c r="E32" t="s">
        <v>85</v>
      </c>
      <c r="F32" t="s">
        <v>43</v>
      </c>
      <c r="G32" t="s">
        <v>18</v>
      </c>
      <c r="H32">
        <v>2</v>
      </c>
      <c r="I32">
        <v>1</v>
      </c>
      <c r="J32" t="s">
        <v>125</v>
      </c>
      <c r="N32" s="2">
        <v>23510</v>
      </c>
    </row>
    <row r="33" spans="1:17" x14ac:dyDescent="0.25">
      <c r="A33" t="s">
        <v>0</v>
      </c>
      <c r="B33" t="s">
        <v>1</v>
      </c>
      <c r="C33" t="s">
        <v>16</v>
      </c>
      <c r="D33" t="s">
        <v>51</v>
      </c>
      <c r="E33" t="s">
        <v>52</v>
      </c>
      <c r="F33" t="s">
        <v>53</v>
      </c>
      <c r="G33" t="s">
        <v>54</v>
      </c>
      <c r="H33" t="s">
        <v>20</v>
      </c>
      <c r="I33" t="s">
        <v>21</v>
      </c>
      <c r="J33" t="s">
        <v>45</v>
      </c>
      <c r="K33" t="s">
        <v>55</v>
      </c>
      <c r="L33" t="s">
        <v>56</v>
      </c>
      <c r="M33" t="s">
        <v>57</v>
      </c>
      <c r="N33" t="s">
        <v>24</v>
      </c>
    </row>
    <row r="34" spans="1:17" x14ac:dyDescent="0.25">
      <c r="A34" s="1">
        <v>43114</v>
      </c>
      <c r="B34" t="s">
        <v>153</v>
      </c>
      <c r="C34" t="s">
        <v>58</v>
      </c>
      <c r="D34" t="s">
        <v>94</v>
      </c>
      <c r="E34" t="s">
        <v>62</v>
      </c>
      <c r="F34" t="s">
        <v>44</v>
      </c>
      <c r="G34" t="s">
        <v>19</v>
      </c>
      <c r="H34">
        <v>0</v>
      </c>
      <c r="I34">
        <v>1</v>
      </c>
      <c r="J34" t="s">
        <v>80</v>
      </c>
      <c r="K34">
        <v>0.9</v>
      </c>
      <c r="L34">
        <v>0.6</v>
      </c>
      <c r="M34">
        <v>62</v>
      </c>
      <c r="N34" s="2">
        <v>19413</v>
      </c>
      <c r="Q34" s="1"/>
    </row>
    <row r="35" spans="1:17" x14ac:dyDescent="0.25">
      <c r="A35" s="1">
        <v>43117</v>
      </c>
      <c r="B35" t="s">
        <v>162</v>
      </c>
      <c r="C35" t="s">
        <v>76</v>
      </c>
      <c r="D35" t="s">
        <v>96</v>
      </c>
      <c r="E35" t="s">
        <v>92</v>
      </c>
      <c r="F35" t="s">
        <v>44</v>
      </c>
      <c r="G35" t="s">
        <v>18</v>
      </c>
      <c r="H35">
        <v>2</v>
      </c>
      <c r="I35">
        <v>1</v>
      </c>
      <c r="J35" t="s">
        <v>65</v>
      </c>
      <c r="N35" s="2">
        <v>51643</v>
      </c>
    </row>
    <row r="36" spans="1:17" x14ac:dyDescent="0.25">
      <c r="A36" s="1">
        <v>43120</v>
      </c>
      <c r="B36" t="s">
        <v>154</v>
      </c>
      <c r="C36" t="s">
        <v>58</v>
      </c>
      <c r="D36" t="s">
        <v>97</v>
      </c>
      <c r="E36" t="s">
        <v>64</v>
      </c>
      <c r="F36" t="s">
        <v>44</v>
      </c>
      <c r="G36" t="s">
        <v>18</v>
      </c>
      <c r="H36">
        <v>3</v>
      </c>
      <c r="I36">
        <v>0</v>
      </c>
      <c r="J36" t="s">
        <v>48</v>
      </c>
      <c r="K36">
        <v>1.3</v>
      </c>
      <c r="L36">
        <v>1.2</v>
      </c>
      <c r="M36">
        <v>46</v>
      </c>
      <c r="N36" s="2">
        <v>19607</v>
      </c>
      <c r="Q36" s="1"/>
    </row>
    <row r="37" spans="1:17" x14ac:dyDescent="0.25">
      <c r="A37" s="1">
        <v>43123</v>
      </c>
      <c r="B37" t="s">
        <v>160</v>
      </c>
      <c r="C37" t="s">
        <v>76</v>
      </c>
      <c r="D37" t="s">
        <v>96</v>
      </c>
      <c r="E37" t="s">
        <v>69</v>
      </c>
      <c r="F37" t="s">
        <v>43</v>
      </c>
      <c r="G37" t="s">
        <v>18</v>
      </c>
      <c r="H37">
        <v>3</v>
      </c>
      <c r="I37">
        <v>1</v>
      </c>
      <c r="J37" t="s">
        <v>65</v>
      </c>
      <c r="N37" s="2">
        <v>39918</v>
      </c>
    </row>
    <row r="38" spans="1:17" x14ac:dyDescent="0.25">
      <c r="A38" s="1">
        <v>43128</v>
      </c>
      <c r="B38" t="s">
        <v>157</v>
      </c>
      <c r="C38" t="s">
        <v>58</v>
      </c>
      <c r="D38" t="s">
        <v>98</v>
      </c>
      <c r="E38" t="s">
        <v>62</v>
      </c>
      <c r="F38" t="s">
        <v>43</v>
      </c>
      <c r="G38" t="s">
        <v>4</v>
      </c>
      <c r="H38">
        <v>1</v>
      </c>
      <c r="I38">
        <v>1</v>
      </c>
      <c r="J38" t="s">
        <v>12</v>
      </c>
      <c r="K38">
        <v>1.5</v>
      </c>
      <c r="L38">
        <v>0.6</v>
      </c>
      <c r="M38">
        <v>65</v>
      </c>
      <c r="N38" s="2">
        <v>34011</v>
      </c>
    </row>
    <row r="39" spans="1:17" x14ac:dyDescent="0.25">
      <c r="A39" s="1">
        <v>43131</v>
      </c>
      <c r="B39" t="s">
        <v>160</v>
      </c>
      <c r="C39" t="s">
        <v>76</v>
      </c>
      <c r="D39" t="s">
        <v>99</v>
      </c>
      <c r="E39" t="s">
        <v>92</v>
      </c>
      <c r="F39" t="s">
        <v>44</v>
      </c>
      <c r="G39" t="s">
        <v>4</v>
      </c>
      <c r="H39">
        <v>1</v>
      </c>
      <c r="I39">
        <v>1</v>
      </c>
      <c r="J39" t="s">
        <v>82</v>
      </c>
      <c r="N39" s="2">
        <v>11454</v>
      </c>
    </row>
    <row r="40" spans="1:17" x14ac:dyDescent="0.25">
      <c r="A40" s="1">
        <v>43134</v>
      </c>
      <c r="B40" t="s">
        <v>154</v>
      </c>
      <c r="C40" t="s">
        <v>58</v>
      </c>
      <c r="D40" t="s">
        <v>100</v>
      </c>
      <c r="E40" t="s">
        <v>64</v>
      </c>
      <c r="F40" t="s">
        <v>44</v>
      </c>
      <c r="G40" t="s">
        <v>19</v>
      </c>
      <c r="H40">
        <v>1</v>
      </c>
      <c r="I40">
        <v>5</v>
      </c>
      <c r="J40" t="s">
        <v>89</v>
      </c>
      <c r="K40">
        <v>1.5</v>
      </c>
      <c r="L40">
        <v>1.6</v>
      </c>
      <c r="M40">
        <v>55</v>
      </c>
      <c r="N40" s="2">
        <v>5311</v>
      </c>
      <c r="Q40" s="1"/>
    </row>
    <row r="41" spans="1:17" x14ac:dyDescent="0.25">
      <c r="A41" s="1">
        <v>43138</v>
      </c>
      <c r="B41" t="s">
        <v>160</v>
      </c>
      <c r="C41" t="s">
        <v>76</v>
      </c>
      <c r="D41" t="s">
        <v>99</v>
      </c>
      <c r="E41" t="s">
        <v>92</v>
      </c>
      <c r="F41" t="s">
        <v>43</v>
      </c>
      <c r="G41" t="s">
        <v>18</v>
      </c>
      <c r="H41">
        <v>2</v>
      </c>
      <c r="I41">
        <v>0</v>
      </c>
      <c r="J41" t="s">
        <v>82</v>
      </c>
      <c r="N41" s="2">
        <v>39705</v>
      </c>
    </row>
    <row r="42" spans="1:17" x14ac:dyDescent="0.25">
      <c r="A42" s="1">
        <v>43142</v>
      </c>
      <c r="B42" t="s">
        <v>168</v>
      </c>
      <c r="C42" t="s">
        <v>58</v>
      </c>
      <c r="D42" t="s">
        <v>101</v>
      </c>
      <c r="E42" t="s">
        <v>62</v>
      </c>
      <c r="F42" t="s">
        <v>43</v>
      </c>
      <c r="G42" t="s">
        <v>18</v>
      </c>
      <c r="H42">
        <v>1</v>
      </c>
      <c r="I42">
        <v>0</v>
      </c>
      <c r="J42" t="s">
        <v>5</v>
      </c>
      <c r="K42">
        <v>2</v>
      </c>
      <c r="L42">
        <v>1.8</v>
      </c>
      <c r="M42">
        <v>54</v>
      </c>
      <c r="N42" s="2">
        <v>33129</v>
      </c>
      <c r="Q42" s="1"/>
    </row>
    <row r="43" spans="1:17" x14ac:dyDescent="0.25">
      <c r="A43" s="1">
        <v>43148</v>
      </c>
      <c r="B43" t="s">
        <v>182</v>
      </c>
      <c r="C43" t="s">
        <v>58</v>
      </c>
      <c r="D43" t="s">
        <v>102</v>
      </c>
      <c r="E43" t="s">
        <v>64</v>
      </c>
      <c r="F43" t="s">
        <v>44</v>
      </c>
      <c r="G43" t="s">
        <v>18</v>
      </c>
      <c r="H43">
        <v>2</v>
      </c>
      <c r="I43">
        <v>1</v>
      </c>
      <c r="J43" t="s">
        <v>6</v>
      </c>
      <c r="K43">
        <v>3.1</v>
      </c>
      <c r="L43">
        <v>1.3</v>
      </c>
      <c r="M43">
        <v>45</v>
      </c>
      <c r="N43" s="2">
        <v>19161</v>
      </c>
    </row>
    <row r="44" spans="1:17" x14ac:dyDescent="0.25">
      <c r="A44" s="1">
        <v>43152</v>
      </c>
      <c r="B44" t="s">
        <v>156</v>
      </c>
      <c r="C44" t="s">
        <v>118</v>
      </c>
      <c r="D44" t="s">
        <v>91</v>
      </c>
      <c r="E44" t="s">
        <v>92</v>
      </c>
      <c r="F44" t="s">
        <v>43</v>
      </c>
      <c r="G44" t="s">
        <v>4</v>
      </c>
      <c r="H44">
        <v>0</v>
      </c>
      <c r="I44">
        <v>0</v>
      </c>
      <c r="J44" t="s">
        <v>183</v>
      </c>
      <c r="K44">
        <v>2</v>
      </c>
      <c r="L44">
        <v>0.7</v>
      </c>
      <c r="M44">
        <v>57</v>
      </c>
      <c r="N44" s="2">
        <v>39725</v>
      </c>
      <c r="Q44" s="1"/>
    </row>
    <row r="45" spans="1:17" x14ac:dyDescent="0.25">
      <c r="A45" s="1">
        <v>43156</v>
      </c>
      <c r="B45" t="s">
        <v>156</v>
      </c>
      <c r="C45" t="s">
        <v>58</v>
      </c>
      <c r="D45" t="s">
        <v>103</v>
      </c>
      <c r="E45" t="s">
        <v>62</v>
      </c>
      <c r="F45" t="s">
        <v>43</v>
      </c>
      <c r="G45" t="s">
        <v>19</v>
      </c>
      <c r="H45">
        <v>2</v>
      </c>
      <c r="I45">
        <v>5</v>
      </c>
      <c r="J45" t="s">
        <v>65</v>
      </c>
      <c r="K45">
        <v>1</v>
      </c>
      <c r="L45">
        <v>2.6</v>
      </c>
      <c r="M45">
        <v>59</v>
      </c>
      <c r="N45" s="2">
        <v>37884</v>
      </c>
      <c r="Q45" s="1"/>
    </row>
    <row r="46" spans="1:17" x14ac:dyDescent="0.25">
      <c r="A46" s="1">
        <v>43159</v>
      </c>
      <c r="B46" t="s">
        <v>166</v>
      </c>
      <c r="C46" t="s">
        <v>58</v>
      </c>
      <c r="D46" t="s">
        <v>104</v>
      </c>
      <c r="E46" t="s">
        <v>92</v>
      </c>
      <c r="F46" t="s">
        <v>44</v>
      </c>
      <c r="G46" t="s">
        <v>18</v>
      </c>
      <c r="H46">
        <v>1</v>
      </c>
      <c r="I46">
        <v>0</v>
      </c>
      <c r="J46" t="s">
        <v>70</v>
      </c>
      <c r="K46">
        <v>0.8</v>
      </c>
      <c r="L46">
        <v>0.4</v>
      </c>
      <c r="M46">
        <v>51</v>
      </c>
      <c r="N46" s="2">
        <v>15516</v>
      </c>
      <c r="Q46" s="1"/>
    </row>
    <row r="47" spans="1:17" x14ac:dyDescent="0.25">
      <c r="A47" s="1">
        <v>43162</v>
      </c>
      <c r="B47" t="s">
        <v>153</v>
      </c>
      <c r="C47" t="s">
        <v>58</v>
      </c>
      <c r="D47" t="s">
        <v>105</v>
      </c>
      <c r="E47" t="s">
        <v>64</v>
      </c>
      <c r="F47" t="s">
        <v>43</v>
      </c>
      <c r="G47" t="s">
        <v>18</v>
      </c>
      <c r="H47">
        <v>2</v>
      </c>
      <c r="I47">
        <v>0</v>
      </c>
      <c r="J47" t="s">
        <v>73</v>
      </c>
      <c r="K47">
        <v>2.2999999999999998</v>
      </c>
      <c r="L47">
        <v>0.7</v>
      </c>
      <c r="M47">
        <v>49</v>
      </c>
      <c r="N47" s="2">
        <v>25185</v>
      </c>
    </row>
    <row r="48" spans="1:17" x14ac:dyDescent="0.25">
      <c r="A48" s="1">
        <v>43169</v>
      </c>
      <c r="B48" t="s">
        <v>153</v>
      </c>
      <c r="C48" t="s">
        <v>58</v>
      </c>
      <c r="D48" t="s">
        <v>106</v>
      </c>
      <c r="E48" t="s">
        <v>64</v>
      </c>
      <c r="F48" t="s">
        <v>43</v>
      </c>
      <c r="G48" t="s">
        <v>19</v>
      </c>
      <c r="H48">
        <v>0</v>
      </c>
      <c r="I48">
        <v>2</v>
      </c>
      <c r="J48" t="s">
        <v>3</v>
      </c>
      <c r="K48">
        <v>1.6</v>
      </c>
      <c r="L48">
        <v>1.3</v>
      </c>
      <c r="M48">
        <v>62</v>
      </c>
      <c r="N48" s="2">
        <v>33287</v>
      </c>
      <c r="Q48" s="1"/>
    </row>
    <row r="49" spans="1:17" x14ac:dyDescent="0.25">
      <c r="A49" s="1">
        <v>43172</v>
      </c>
      <c r="B49" t="s">
        <v>184</v>
      </c>
      <c r="C49" t="s">
        <v>118</v>
      </c>
      <c r="D49" t="s">
        <v>91</v>
      </c>
      <c r="E49" t="s">
        <v>69</v>
      </c>
      <c r="F49" t="s">
        <v>44</v>
      </c>
      <c r="G49" t="s">
        <v>18</v>
      </c>
      <c r="H49">
        <v>2</v>
      </c>
      <c r="I49">
        <v>1</v>
      </c>
      <c r="J49" t="s">
        <v>183</v>
      </c>
      <c r="K49">
        <v>1.7</v>
      </c>
      <c r="L49">
        <v>1.9</v>
      </c>
      <c r="M49">
        <v>49</v>
      </c>
      <c r="N49" s="2">
        <v>74909</v>
      </c>
    </row>
    <row r="50" spans="1:17" x14ac:dyDescent="0.25">
      <c r="A50" s="1">
        <v>43177</v>
      </c>
      <c r="B50" t="s">
        <v>182</v>
      </c>
      <c r="C50" t="s">
        <v>58</v>
      </c>
      <c r="D50" t="s">
        <v>107</v>
      </c>
      <c r="E50" t="s">
        <v>62</v>
      </c>
      <c r="F50" t="s">
        <v>44</v>
      </c>
      <c r="G50" t="s">
        <v>19</v>
      </c>
      <c r="H50">
        <v>1</v>
      </c>
      <c r="I50">
        <v>2</v>
      </c>
      <c r="J50" t="s">
        <v>82</v>
      </c>
      <c r="K50">
        <v>0.5</v>
      </c>
      <c r="L50">
        <v>1.3</v>
      </c>
      <c r="M50">
        <v>65</v>
      </c>
      <c r="N50" s="2">
        <v>10037</v>
      </c>
    </row>
    <row r="51" spans="1:17" x14ac:dyDescent="0.25">
      <c r="A51" s="1">
        <v>43190</v>
      </c>
      <c r="B51" t="s">
        <v>156</v>
      </c>
      <c r="C51" t="s">
        <v>58</v>
      </c>
      <c r="D51" t="s">
        <v>108</v>
      </c>
      <c r="E51" t="s">
        <v>64</v>
      </c>
      <c r="F51" t="s">
        <v>43</v>
      </c>
      <c r="G51" t="s">
        <v>4</v>
      </c>
      <c r="H51">
        <v>2</v>
      </c>
      <c r="I51">
        <v>2</v>
      </c>
      <c r="J51" t="s">
        <v>13</v>
      </c>
      <c r="K51">
        <v>2.6</v>
      </c>
      <c r="L51">
        <v>1.7</v>
      </c>
      <c r="M51">
        <v>40</v>
      </c>
      <c r="N51" s="2">
        <v>37588</v>
      </c>
      <c r="Q51" s="1"/>
    </row>
    <row r="52" spans="1:17" x14ac:dyDescent="0.25">
      <c r="A52" s="1">
        <v>43193</v>
      </c>
      <c r="B52" t="s">
        <v>156</v>
      </c>
      <c r="C52" t="s">
        <v>118</v>
      </c>
      <c r="D52" t="s">
        <v>96</v>
      </c>
      <c r="E52" t="s">
        <v>69</v>
      </c>
      <c r="F52" t="s">
        <v>43</v>
      </c>
      <c r="G52" t="s">
        <v>19</v>
      </c>
      <c r="H52">
        <v>1</v>
      </c>
      <c r="I52">
        <v>2</v>
      </c>
      <c r="J52" t="s">
        <v>185</v>
      </c>
      <c r="K52">
        <v>0.9</v>
      </c>
      <c r="L52">
        <v>1.4</v>
      </c>
      <c r="M52">
        <v>42</v>
      </c>
      <c r="N52" s="2">
        <v>40635</v>
      </c>
    </row>
    <row r="53" spans="1:17" x14ac:dyDescent="0.25">
      <c r="A53" s="1">
        <v>43197</v>
      </c>
      <c r="B53" t="s">
        <v>153</v>
      </c>
      <c r="C53" t="s">
        <v>58</v>
      </c>
      <c r="D53" t="s">
        <v>109</v>
      </c>
      <c r="E53" t="s">
        <v>64</v>
      </c>
      <c r="F53" t="s">
        <v>44</v>
      </c>
      <c r="G53" t="s">
        <v>19</v>
      </c>
      <c r="H53">
        <v>0</v>
      </c>
      <c r="I53">
        <v>4</v>
      </c>
      <c r="J53" t="s">
        <v>50</v>
      </c>
      <c r="K53">
        <v>2</v>
      </c>
      <c r="L53">
        <v>1.8</v>
      </c>
      <c r="M53">
        <v>52</v>
      </c>
      <c r="N53" s="2">
        <v>16919</v>
      </c>
      <c r="Q53" s="1"/>
    </row>
    <row r="54" spans="1:17" x14ac:dyDescent="0.25">
      <c r="A54" s="1">
        <v>43201</v>
      </c>
      <c r="B54" t="s">
        <v>156</v>
      </c>
      <c r="C54" t="s">
        <v>118</v>
      </c>
      <c r="D54" t="s">
        <v>96</v>
      </c>
      <c r="E54" t="s">
        <v>92</v>
      </c>
      <c r="F54" t="s">
        <v>44</v>
      </c>
      <c r="G54" t="s">
        <v>4</v>
      </c>
      <c r="H54">
        <v>0</v>
      </c>
      <c r="I54">
        <v>0</v>
      </c>
      <c r="J54" t="s">
        <v>185</v>
      </c>
      <c r="K54">
        <v>0.6</v>
      </c>
      <c r="L54">
        <v>1.2</v>
      </c>
      <c r="M54">
        <v>50</v>
      </c>
      <c r="N54" s="2">
        <v>70000</v>
      </c>
    </row>
    <row r="55" spans="1:17" x14ac:dyDescent="0.25">
      <c r="A55" s="1">
        <v>43204</v>
      </c>
      <c r="B55" t="s">
        <v>154</v>
      </c>
      <c r="C55" t="s">
        <v>58</v>
      </c>
      <c r="D55" t="s">
        <v>110</v>
      </c>
      <c r="E55" t="s">
        <v>64</v>
      </c>
      <c r="F55" t="s">
        <v>43</v>
      </c>
      <c r="G55" t="s">
        <v>4</v>
      </c>
      <c r="H55">
        <v>2</v>
      </c>
      <c r="I55">
        <v>2</v>
      </c>
      <c r="J55" t="s">
        <v>10</v>
      </c>
      <c r="K55">
        <v>1.7</v>
      </c>
      <c r="L55">
        <v>1.2</v>
      </c>
      <c r="M55">
        <v>58</v>
      </c>
      <c r="N55" s="2">
        <v>32192</v>
      </c>
    </row>
    <row r="56" spans="1:17" x14ac:dyDescent="0.25">
      <c r="A56" s="1">
        <v>43207</v>
      </c>
      <c r="B56" t="s">
        <v>166</v>
      </c>
      <c r="C56" t="s">
        <v>58</v>
      </c>
      <c r="D56" t="s">
        <v>111</v>
      </c>
      <c r="E56" t="s">
        <v>69</v>
      </c>
      <c r="F56" t="s">
        <v>44</v>
      </c>
      <c r="G56" t="s">
        <v>4</v>
      </c>
      <c r="H56">
        <v>0</v>
      </c>
      <c r="I56">
        <v>0</v>
      </c>
      <c r="J56" t="s">
        <v>95</v>
      </c>
      <c r="K56">
        <v>2.1</v>
      </c>
      <c r="L56">
        <v>1.7</v>
      </c>
      <c r="M56">
        <v>62</v>
      </c>
      <c r="N56" s="2">
        <v>24374</v>
      </c>
    </row>
    <row r="57" spans="1:17" x14ac:dyDescent="0.25">
      <c r="A57" s="1">
        <v>43211</v>
      </c>
      <c r="B57" t="s">
        <v>160</v>
      </c>
      <c r="C57" t="s">
        <v>76</v>
      </c>
      <c r="D57" t="s">
        <v>121</v>
      </c>
      <c r="E57" t="s">
        <v>64</v>
      </c>
      <c r="F57" t="s">
        <v>186</v>
      </c>
      <c r="G57" t="s">
        <v>19</v>
      </c>
      <c r="H57">
        <v>0</v>
      </c>
      <c r="I57">
        <v>5</v>
      </c>
      <c r="J57" t="s">
        <v>13</v>
      </c>
      <c r="N57" s="2">
        <v>67500</v>
      </c>
    </row>
    <row r="58" spans="1:17" x14ac:dyDescent="0.25">
      <c r="A58" s="1">
        <v>43217</v>
      </c>
      <c r="B58" t="s">
        <v>181</v>
      </c>
      <c r="C58" t="s">
        <v>58</v>
      </c>
      <c r="D58" t="s">
        <v>113</v>
      </c>
      <c r="E58" t="s">
        <v>60</v>
      </c>
      <c r="F58" t="s">
        <v>44</v>
      </c>
      <c r="G58" t="s">
        <v>19</v>
      </c>
      <c r="H58">
        <v>1</v>
      </c>
      <c r="I58">
        <v>2</v>
      </c>
      <c r="J58" t="s">
        <v>67</v>
      </c>
      <c r="K58">
        <v>1.2</v>
      </c>
      <c r="L58">
        <v>2.1</v>
      </c>
      <c r="M58">
        <v>56</v>
      </c>
      <c r="N58" s="2">
        <v>17240</v>
      </c>
      <c r="Q58" s="1"/>
    </row>
    <row r="59" spans="1:17" x14ac:dyDescent="0.25">
      <c r="A59" s="1">
        <v>43224</v>
      </c>
      <c r="B59" t="s">
        <v>181</v>
      </c>
      <c r="C59" t="s">
        <v>58</v>
      </c>
      <c r="D59" t="s">
        <v>114</v>
      </c>
      <c r="E59" t="s">
        <v>60</v>
      </c>
      <c r="F59" t="s">
        <v>43</v>
      </c>
      <c r="G59" t="s">
        <v>18</v>
      </c>
      <c r="H59">
        <v>1</v>
      </c>
      <c r="I59">
        <v>0</v>
      </c>
      <c r="J59" t="s">
        <v>49</v>
      </c>
      <c r="K59">
        <v>1.8</v>
      </c>
      <c r="L59">
        <v>0.8</v>
      </c>
      <c r="M59">
        <v>41</v>
      </c>
      <c r="N59" s="2">
        <v>34733</v>
      </c>
    </row>
    <row r="60" spans="1:17" x14ac:dyDescent="0.25">
      <c r="A60" s="1">
        <v>43229</v>
      </c>
      <c r="B60" t="s">
        <v>160</v>
      </c>
      <c r="C60" t="s">
        <v>58</v>
      </c>
      <c r="D60" t="s">
        <v>112</v>
      </c>
      <c r="E60" t="s">
        <v>92</v>
      </c>
      <c r="F60" t="s">
        <v>43</v>
      </c>
      <c r="G60" t="s">
        <v>18</v>
      </c>
      <c r="H60">
        <v>3</v>
      </c>
      <c r="I60">
        <v>2</v>
      </c>
      <c r="J60" t="s">
        <v>8</v>
      </c>
      <c r="K60">
        <v>1.8</v>
      </c>
      <c r="L60">
        <v>2.5</v>
      </c>
      <c r="M60">
        <v>36</v>
      </c>
      <c r="N60" s="2">
        <v>38524</v>
      </c>
      <c r="Q60" s="1"/>
    </row>
    <row r="61" spans="1:17" x14ac:dyDescent="0.25">
      <c r="A61" s="1">
        <v>43232</v>
      </c>
      <c r="B61" t="s">
        <v>157</v>
      </c>
      <c r="C61" t="s">
        <v>58</v>
      </c>
      <c r="D61" t="s">
        <v>115</v>
      </c>
      <c r="E61" t="s">
        <v>64</v>
      </c>
      <c r="F61" t="s">
        <v>44</v>
      </c>
      <c r="G61" t="s">
        <v>4</v>
      </c>
      <c r="H61">
        <v>2</v>
      </c>
      <c r="I61">
        <v>2</v>
      </c>
      <c r="J61" t="s">
        <v>11</v>
      </c>
      <c r="K61">
        <v>1.8</v>
      </c>
      <c r="L61">
        <v>1.5</v>
      </c>
      <c r="M61">
        <v>52</v>
      </c>
      <c r="N61" s="2">
        <v>55588</v>
      </c>
    </row>
    <row r="62" spans="1:17" x14ac:dyDescent="0.25">
      <c r="A62" s="1">
        <v>43239</v>
      </c>
      <c r="B62" t="s">
        <v>157</v>
      </c>
      <c r="C62" t="s">
        <v>58</v>
      </c>
      <c r="D62" t="s">
        <v>116</v>
      </c>
      <c r="E62" t="s">
        <v>64</v>
      </c>
      <c r="F62" t="s">
        <v>43</v>
      </c>
      <c r="G62" t="s">
        <v>18</v>
      </c>
      <c r="H62">
        <v>1</v>
      </c>
      <c r="I62">
        <v>0</v>
      </c>
      <c r="J62" t="s">
        <v>80</v>
      </c>
      <c r="K62">
        <v>2</v>
      </c>
      <c r="L62">
        <v>1.2</v>
      </c>
      <c r="M62">
        <v>61</v>
      </c>
      <c r="N62" s="2">
        <v>22513</v>
      </c>
      <c r="P62" s="1"/>
      <c r="Q62" s="1"/>
    </row>
    <row r="67" spans="1:1" x14ac:dyDescent="0.25">
      <c r="A67" t="s">
        <v>187</v>
      </c>
    </row>
    <row r="68" spans="1:1" x14ac:dyDescent="0.25">
      <c r="A68" t="s">
        <v>188</v>
      </c>
    </row>
    <row r="69" spans="1:1" x14ac:dyDescent="0.25">
      <c r="A69" t="s">
        <v>189</v>
      </c>
    </row>
    <row r="70" spans="1:1" x14ac:dyDescent="0.25">
      <c r="A70" t="s">
        <v>190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C7306-E1CB-4B56-85AE-77604131D86C}">
  <dimension ref="A1:Q69"/>
  <sheetViews>
    <sheetView topLeftCell="A43" workbookViewId="0">
      <selection activeCell="I4" sqref="I4"/>
    </sheetView>
  </sheetViews>
  <sheetFormatPr defaultRowHeight="15" x14ac:dyDescent="0.25"/>
  <cols>
    <col min="1" max="1" width="10.42578125" customWidth="1"/>
  </cols>
  <sheetData>
    <row r="1" spans="1:17" x14ac:dyDescent="0.25">
      <c r="A1" t="s">
        <v>213</v>
      </c>
    </row>
    <row r="2" spans="1:17" x14ac:dyDescent="0.25">
      <c r="A2" t="s">
        <v>214</v>
      </c>
    </row>
    <row r="3" spans="1:17" x14ac:dyDescent="0.25">
      <c r="A3" t="s">
        <v>215</v>
      </c>
    </row>
    <row r="4" spans="1:17" x14ac:dyDescent="0.25">
      <c r="A4" t="s">
        <v>216</v>
      </c>
    </row>
    <row r="7" spans="1:17" x14ac:dyDescent="0.25">
      <c r="A7" t="s">
        <v>0</v>
      </c>
      <c r="B7" t="s">
        <v>1</v>
      </c>
      <c r="C7" t="s">
        <v>16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 t="s">
        <v>45</v>
      </c>
      <c r="K7" t="s">
        <v>55</v>
      </c>
      <c r="L7" t="s">
        <v>56</v>
      </c>
      <c r="M7" t="s">
        <v>57</v>
      </c>
      <c r="N7" t="s">
        <v>24</v>
      </c>
    </row>
    <row r="8" spans="1:17" x14ac:dyDescent="0.25">
      <c r="A8" s="1">
        <v>43307</v>
      </c>
      <c r="B8" t="s">
        <v>192</v>
      </c>
      <c r="C8" t="s">
        <v>193</v>
      </c>
      <c r="D8" t="s">
        <v>194</v>
      </c>
      <c r="E8" t="s">
        <v>85</v>
      </c>
      <c r="F8" t="s">
        <v>43</v>
      </c>
      <c r="G8" t="s">
        <v>18</v>
      </c>
      <c r="H8">
        <v>4</v>
      </c>
      <c r="I8">
        <v>0</v>
      </c>
      <c r="J8" t="s">
        <v>195</v>
      </c>
      <c r="N8" s="2">
        <v>29671</v>
      </c>
      <c r="P8" s="1"/>
    </row>
    <row r="9" spans="1:17" x14ac:dyDescent="0.25">
      <c r="A9" s="1">
        <v>43314</v>
      </c>
      <c r="B9" t="s">
        <v>181</v>
      </c>
      <c r="C9" t="s">
        <v>193</v>
      </c>
      <c r="D9" t="s">
        <v>194</v>
      </c>
      <c r="E9" t="s">
        <v>85</v>
      </c>
      <c r="F9" t="s">
        <v>44</v>
      </c>
      <c r="G9" t="s">
        <v>18</v>
      </c>
      <c r="H9">
        <v>3</v>
      </c>
      <c r="I9">
        <v>1</v>
      </c>
      <c r="J9" t="s">
        <v>195</v>
      </c>
      <c r="N9" s="2">
        <v>9785</v>
      </c>
      <c r="P9" s="1"/>
    </row>
    <row r="10" spans="1:17" x14ac:dyDescent="0.25">
      <c r="A10" s="1">
        <v>43321</v>
      </c>
      <c r="B10" t="s">
        <v>192</v>
      </c>
      <c r="C10" t="s">
        <v>193</v>
      </c>
      <c r="D10" t="s">
        <v>196</v>
      </c>
      <c r="E10" t="s">
        <v>85</v>
      </c>
      <c r="F10" t="s">
        <v>43</v>
      </c>
      <c r="G10" t="s">
        <v>18</v>
      </c>
      <c r="H10">
        <v>1</v>
      </c>
      <c r="I10">
        <v>0</v>
      </c>
      <c r="J10" t="s">
        <v>197</v>
      </c>
      <c r="N10" s="2">
        <v>26198</v>
      </c>
      <c r="P10" s="1"/>
    </row>
    <row r="11" spans="1:17" x14ac:dyDescent="0.25">
      <c r="A11" s="1">
        <v>43324</v>
      </c>
      <c r="B11" t="s">
        <v>198</v>
      </c>
      <c r="C11" t="s">
        <v>122</v>
      </c>
      <c r="D11" t="s">
        <v>122</v>
      </c>
      <c r="E11" t="s">
        <v>62</v>
      </c>
      <c r="F11" t="s">
        <v>186</v>
      </c>
      <c r="G11" t="s">
        <v>19</v>
      </c>
      <c r="H11">
        <v>1</v>
      </c>
      <c r="I11">
        <v>2</v>
      </c>
      <c r="J11" t="s">
        <v>13</v>
      </c>
      <c r="M11">
        <v>31</v>
      </c>
      <c r="N11" s="2">
        <v>40000</v>
      </c>
      <c r="P11" s="1"/>
      <c r="Q11" s="1"/>
    </row>
    <row r="12" spans="1:17" x14ac:dyDescent="0.25">
      <c r="A12" s="1">
        <v>43328</v>
      </c>
      <c r="B12" t="s">
        <v>199</v>
      </c>
      <c r="C12" t="s">
        <v>193</v>
      </c>
      <c r="D12" t="s">
        <v>196</v>
      </c>
      <c r="E12" t="s">
        <v>85</v>
      </c>
      <c r="F12" t="s">
        <v>44</v>
      </c>
      <c r="G12" t="s">
        <v>18</v>
      </c>
      <c r="H12">
        <v>5</v>
      </c>
      <c r="I12">
        <v>0</v>
      </c>
      <c r="J12" t="s">
        <v>197</v>
      </c>
      <c r="N12" s="2">
        <v>5000</v>
      </c>
      <c r="P12" s="1"/>
    </row>
    <row r="13" spans="1:17" x14ac:dyDescent="0.25">
      <c r="A13" s="1">
        <v>43331</v>
      </c>
      <c r="B13" t="s">
        <v>174</v>
      </c>
      <c r="C13" t="s">
        <v>58</v>
      </c>
      <c r="D13" t="s">
        <v>59</v>
      </c>
      <c r="E13" t="s">
        <v>62</v>
      </c>
      <c r="F13" t="s">
        <v>44</v>
      </c>
      <c r="G13" t="s">
        <v>18</v>
      </c>
      <c r="H13">
        <v>4</v>
      </c>
      <c r="I13">
        <v>1</v>
      </c>
      <c r="J13" t="s">
        <v>46</v>
      </c>
      <c r="K13">
        <v>2.8</v>
      </c>
      <c r="L13">
        <v>2.1</v>
      </c>
      <c r="M13">
        <v>51</v>
      </c>
      <c r="N13" s="2">
        <v>11626</v>
      </c>
      <c r="P13" s="1"/>
    </row>
    <row r="14" spans="1:17" x14ac:dyDescent="0.25">
      <c r="A14" s="1">
        <v>43335</v>
      </c>
      <c r="B14" t="s">
        <v>162</v>
      </c>
      <c r="C14" t="s">
        <v>193</v>
      </c>
      <c r="D14" t="s">
        <v>172</v>
      </c>
      <c r="E14" t="s">
        <v>85</v>
      </c>
      <c r="F14" t="s">
        <v>44</v>
      </c>
      <c r="G14" t="s">
        <v>18</v>
      </c>
      <c r="H14">
        <v>1</v>
      </c>
      <c r="I14">
        <v>0</v>
      </c>
      <c r="J14" t="s">
        <v>200</v>
      </c>
      <c r="N14" s="2">
        <v>11709</v>
      </c>
      <c r="P14" s="1"/>
      <c r="Q14" s="1"/>
    </row>
    <row r="15" spans="1:17" x14ac:dyDescent="0.25">
      <c r="A15" s="1">
        <v>43338</v>
      </c>
      <c r="B15" t="s">
        <v>152</v>
      </c>
      <c r="C15" t="s">
        <v>58</v>
      </c>
      <c r="D15" t="s">
        <v>61</v>
      </c>
      <c r="E15" t="s">
        <v>62</v>
      </c>
      <c r="F15" t="s">
        <v>43</v>
      </c>
      <c r="G15" t="s">
        <v>4</v>
      </c>
      <c r="H15">
        <v>0</v>
      </c>
      <c r="I15">
        <v>0</v>
      </c>
      <c r="J15" t="s">
        <v>10</v>
      </c>
      <c r="K15">
        <v>1.9</v>
      </c>
      <c r="L15">
        <v>1</v>
      </c>
      <c r="M15">
        <v>53</v>
      </c>
      <c r="N15" s="2">
        <v>35831</v>
      </c>
      <c r="P15" s="1"/>
    </row>
    <row r="16" spans="1:17" x14ac:dyDescent="0.25">
      <c r="A16" s="1">
        <v>43342</v>
      </c>
      <c r="B16" t="s">
        <v>192</v>
      </c>
      <c r="C16" t="s">
        <v>193</v>
      </c>
      <c r="D16" t="s">
        <v>172</v>
      </c>
      <c r="E16" t="s">
        <v>85</v>
      </c>
      <c r="F16" t="s">
        <v>43</v>
      </c>
      <c r="G16" t="s">
        <v>18</v>
      </c>
      <c r="H16">
        <v>3</v>
      </c>
      <c r="I16">
        <v>0</v>
      </c>
      <c r="J16" t="s">
        <v>200</v>
      </c>
      <c r="N16" s="2">
        <v>30311</v>
      </c>
      <c r="P16" s="1"/>
    </row>
    <row r="17" spans="1:17" x14ac:dyDescent="0.25">
      <c r="A17" s="1">
        <v>43345</v>
      </c>
      <c r="B17" t="s">
        <v>156</v>
      </c>
      <c r="C17" t="s">
        <v>58</v>
      </c>
      <c r="D17" t="s">
        <v>63</v>
      </c>
      <c r="E17" t="s">
        <v>62</v>
      </c>
      <c r="F17" t="s">
        <v>44</v>
      </c>
      <c r="G17" t="s">
        <v>19</v>
      </c>
      <c r="H17">
        <v>0</v>
      </c>
      <c r="I17">
        <v>1</v>
      </c>
      <c r="J17" t="s">
        <v>11</v>
      </c>
      <c r="K17">
        <v>0.6</v>
      </c>
      <c r="L17">
        <v>0.9</v>
      </c>
      <c r="M17">
        <v>38</v>
      </c>
      <c r="N17" s="2">
        <v>53451</v>
      </c>
      <c r="P17" s="1"/>
      <c r="Q17" s="1"/>
    </row>
    <row r="18" spans="1:17" x14ac:dyDescent="0.25">
      <c r="A18" s="1">
        <v>43359</v>
      </c>
      <c r="B18" t="s">
        <v>156</v>
      </c>
      <c r="C18" t="s">
        <v>58</v>
      </c>
      <c r="D18" t="s">
        <v>66</v>
      </c>
      <c r="E18" t="s">
        <v>62</v>
      </c>
      <c r="F18" t="s">
        <v>43</v>
      </c>
      <c r="G18" t="s">
        <v>19</v>
      </c>
      <c r="H18">
        <v>0</v>
      </c>
      <c r="I18">
        <v>2</v>
      </c>
      <c r="J18" t="s">
        <v>12</v>
      </c>
      <c r="K18">
        <v>1.2</v>
      </c>
      <c r="L18">
        <v>1.9</v>
      </c>
      <c r="M18">
        <v>70</v>
      </c>
      <c r="N18" s="2">
        <v>36943</v>
      </c>
      <c r="P18" s="1"/>
      <c r="Q18" s="1"/>
    </row>
    <row r="19" spans="1:17" x14ac:dyDescent="0.25">
      <c r="A19" s="1">
        <v>43363</v>
      </c>
      <c r="B19" t="s">
        <v>201</v>
      </c>
      <c r="C19" t="s">
        <v>193</v>
      </c>
      <c r="D19" t="s">
        <v>119</v>
      </c>
      <c r="E19" t="s">
        <v>85</v>
      </c>
      <c r="F19" t="s">
        <v>43</v>
      </c>
      <c r="G19" t="s">
        <v>18</v>
      </c>
      <c r="H19">
        <v>5</v>
      </c>
      <c r="I19">
        <v>1</v>
      </c>
      <c r="J19" t="s">
        <v>202</v>
      </c>
      <c r="K19">
        <v>3.4</v>
      </c>
      <c r="L19">
        <v>0.7</v>
      </c>
      <c r="M19">
        <v>55</v>
      </c>
      <c r="N19" s="2">
        <v>30003</v>
      </c>
      <c r="P19" s="1"/>
      <c r="Q19" s="1"/>
    </row>
    <row r="20" spans="1:17" x14ac:dyDescent="0.25">
      <c r="A20" s="1">
        <v>43366</v>
      </c>
      <c r="B20" t="s">
        <v>168</v>
      </c>
      <c r="C20" t="s">
        <v>58</v>
      </c>
      <c r="D20" t="s">
        <v>68</v>
      </c>
      <c r="E20" t="s">
        <v>62</v>
      </c>
      <c r="F20" t="s">
        <v>44</v>
      </c>
      <c r="G20" t="s">
        <v>18</v>
      </c>
      <c r="H20">
        <v>6</v>
      </c>
      <c r="I20">
        <v>2</v>
      </c>
      <c r="J20" t="s">
        <v>67</v>
      </c>
      <c r="K20">
        <v>3.2</v>
      </c>
      <c r="L20">
        <v>2.2999999999999998</v>
      </c>
      <c r="M20">
        <v>51</v>
      </c>
      <c r="N20" s="2">
        <v>21520</v>
      </c>
      <c r="P20" s="1"/>
      <c r="Q20" s="1"/>
    </row>
    <row r="21" spans="1:17" x14ac:dyDescent="0.25">
      <c r="A21" s="1">
        <v>43369</v>
      </c>
      <c r="B21" t="s">
        <v>176</v>
      </c>
      <c r="C21" t="s">
        <v>58</v>
      </c>
      <c r="D21" t="s">
        <v>71</v>
      </c>
      <c r="E21" t="s">
        <v>92</v>
      </c>
      <c r="F21" t="s">
        <v>43</v>
      </c>
      <c r="G21" t="s">
        <v>18</v>
      </c>
      <c r="H21">
        <v>3</v>
      </c>
      <c r="I21">
        <v>0</v>
      </c>
      <c r="J21" t="s">
        <v>8</v>
      </c>
      <c r="K21">
        <v>2.4</v>
      </c>
      <c r="L21">
        <v>1.5</v>
      </c>
      <c r="M21">
        <v>40</v>
      </c>
      <c r="N21" s="2">
        <v>40972</v>
      </c>
      <c r="P21" s="1"/>
      <c r="Q21" s="1"/>
    </row>
    <row r="22" spans="1:17" x14ac:dyDescent="0.25">
      <c r="A22" s="1">
        <v>43372</v>
      </c>
      <c r="B22" t="s">
        <v>157</v>
      </c>
      <c r="C22" t="s">
        <v>58</v>
      </c>
      <c r="D22" t="s">
        <v>72</v>
      </c>
      <c r="E22" t="s">
        <v>64</v>
      </c>
      <c r="F22" t="s">
        <v>44</v>
      </c>
      <c r="G22" t="s">
        <v>18</v>
      </c>
      <c r="H22">
        <v>3</v>
      </c>
      <c r="I22">
        <v>1</v>
      </c>
      <c r="J22" t="s">
        <v>89</v>
      </c>
      <c r="K22">
        <v>2</v>
      </c>
      <c r="L22">
        <v>0.8</v>
      </c>
      <c r="M22">
        <v>37</v>
      </c>
      <c r="N22" s="2">
        <v>5443</v>
      </c>
      <c r="P22" s="1"/>
      <c r="Q22" s="1"/>
    </row>
    <row r="23" spans="1:17" x14ac:dyDescent="0.25">
      <c r="A23" s="1">
        <v>43377</v>
      </c>
      <c r="B23" t="s">
        <v>203</v>
      </c>
      <c r="C23" t="s">
        <v>193</v>
      </c>
      <c r="D23" t="s">
        <v>119</v>
      </c>
      <c r="E23" t="s">
        <v>85</v>
      </c>
      <c r="F23" t="s">
        <v>44</v>
      </c>
      <c r="G23" t="s">
        <v>19</v>
      </c>
      <c r="H23">
        <v>1</v>
      </c>
      <c r="I23">
        <v>2</v>
      </c>
      <c r="J23" t="s">
        <v>204</v>
      </c>
      <c r="K23">
        <v>1.4</v>
      </c>
      <c r="L23">
        <v>1.5</v>
      </c>
      <c r="M23">
        <v>50</v>
      </c>
      <c r="N23" s="2">
        <v>31346</v>
      </c>
      <c r="Q23" s="1"/>
    </row>
    <row r="24" spans="1:17" x14ac:dyDescent="0.25">
      <c r="A24" s="1">
        <v>43380</v>
      </c>
      <c r="B24" t="s">
        <v>157</v>
      </c>
      <c r="C24" t="s">
        <v>58</v>
      </c>
      <c r="D24" t="s">
        <v>74</v>
      </c>
      <c r="E24" t="s">
        <v>62</v>
      </c>
      <c r="F24" t="s">
        <v>43</v>
      </c>
      <c r="G24" t="s">
        <v>18</v>
      </c>
      <c r="H24">
        <v>2</v>
      </c>
      <c r="I24">
        <v>1</v>
      </c>
      <c r="J24" t="s">
        <v>50</v>
      </c>
      <c r="K24">
        <v>1.8</v>
      </c>
      <c r="L24">
        <v>0.7</v>
      </c>
      <c r="M24">
        <v>52</v>
      </c>
      <c r="N24" s="2">
        <v>38068</v>
      </c>
      <c r="Q24" s="1"/>
    </row>
    <row r="25" spans="1:17" x14ac:dyDescent="0.25">
      <c r="A25" s="1">
        <v>43393</v>
      </c>
      <c r="B25" t="s">
        <v>156</v>
      </c>
      <c r="C25" t="s">
        <v>58</v>
      </c>
      <c r="D25" t="s">
        <v>75</v>
      </c>
      <c r="E25" t="s">
        <v>64</v>
      </c>
      <c r="F25" t="s">
        <v>44</v>
      </c>
      <c r="G25" t="s">
        <v>19</v>
      </c>
      <c r="H25">
        <v>2</v>
      </c>
      <c r="I25">
        <v>4</v>
      </c>
      <c r="J25" t="s">
        <v>13</v>
      </c>
      <c r="K25">
        <v>2.2000000000000002</v>
      </c>
      <c r="L25">
        <v>2.5</v>
      </c>
      <c r="M25">
        <v>47</v>
      </c>
      <c r="N25" s="2">
        <v>88712</v>
      </c>
      <c r="P25" s="1"/>
      <c r="Q25" s="1"/>
    </row>
    <row r="26" spans="1:17" x14ac:dyDescent="0.25">
      <c r="A26" s="1">
        <v>43398</v>
      </c>
      <c r="B26" t="s">
        <v>181</v>
      </c>
      <c r="C26" t="s">
        <v>193</v>
      </c>
      <c r="D26" t="s">
        <v>119</v>
      </c>
      <c r="E26" t="s">
        <v>85</v>
      </c>
      <c r="F26" t="s">
        <v>43</v>
      </c>
      <c r="G26" t="s">
        <v>18</v>
      </c>
      <c r="H26">
        <v>6</v>
      </c>
      <c r="I26">
        <v>0</v>
      </c>
      <c r="J26" t="s">
        <v>205</v>
      </c>
      <c r="K26">
        <v>1.9</v>
      </c>
      <c r="L26">
        <v>0.7</v>
      </c>
      <c r="M26">
        <v>55</v>
      </c>
      <c r="N26" s="2">
        <v>29720</v>
      </c>
    </row>
    <row r="27" spans="1:17" x14ac:dyDescent="0.25">
      <c r="A27" s="1">
        <v>43401</v>
      </c>
      <c r="B27" t="s">
        <v>180</v>
      </c>
      <c r="C27" t="s">
        <v>58</v>
      </c>
      <c r="D27" t="s">
        <v>79</v>
      </c>
      <c r="E27" t="s">
        <v>62</v>
      </c>
      <c r="F27" t="s">
        <v>43</v>
      </c>
      <c r="G27" t="s">
        <v>18</v>
      </c>
      <c r="H27">
        <v>2</v>
      </c>
      <c r="I27">
        <v>1</v>
      </c>
      <c r="J27" t="s">
        <v>120</v>
      </c>
      <c r="K27">
        <v>1.7</v>
      </c>
      <c r="L27">
        <v>0.8</v>
      </c>
      <c r="M27">
        <v>62</v>
      </c>
      <c r="N27" s="2">
        <v>33022</v>
      </c>
      <c r="Q27" s="1"/>
    </row>
    <row r="28" spans="1:17" x14ac:dyDescent="0.25">
      <c r="A28" s="1">
        <v>43405</v>
      </c>
      <c r="B28" t="s">
        <v>167</v>
      </c>
      <c r="C28" t="s">
        <v>76</v>
      </c>
      <c r="D28" t="s">
        <v>77</v>
      </c>
      <c r="E28" t="s">
        <v>85</v>
      </c>
      <c r="F28" t="s">
        <v>44</v>
      </c>
      <c r="G28" t="s">
        <v>4</v>
      </c>
      <c r="H28">
        <v>0</v>
      </c>
      <c r="I28">
        <v>0</v>
      </c>
      <c r="J28" t="s">
        <v>206</v>
      </c>
      <c r="M28">
        <v>69</v>
      </c>
      <c r="N28" s="2">
        <v>7145</v>
      </c>
      <c r="P28" s="1"/>
      <c r="Q28" s="1"/>
    </row>
    <row r="29" spans="1:17" x14ac:dyDescent="0.25">
      <c r="A29" s="1">
        <v>43408</v>
      </c>
      <c r="B29" t="s">
        <v>157</v>
      </c>
      <c r="C29" t="s">
        <v>58</v>
      </c>
      <c r="D29" t="s">
        <v>81</v>
      </c>
      <c r="E29" t="s">
        <v>62</v>
      </c>
      <c r="F29" t="s">
        <v>44</v>
      </c>
      <c r="G29" t="s">
        <v>4</v>
      </c>
      <c r="H29">
        <v>0</v>
      </c>
      <c r="I29">
        <v>0</v>
      </c>
      <c r="J29" t="s">
        <v>49</v>
      </c>
      <c r="K29">
        <v>0.4</v>
      </c>
      <c r="L29">
        <v>0.6</v>
      </c>
      <c r="M29">
        <v>48</v>
      </c>
      <c r="N29" s="2">
        <v>24882</v>
      </c>
      <c r="P29" s="1"/>
    </row>
    <row r="30" spans="1:17" x14ac:dyDescent="0.25">
      <c r="A30" s="1">
        <v>43412</v>
      </c>
      <c r="B30" t="s">
        <v>207</v>
      </c>
      <c r="C30" t="s">
        <v>193</v>
      </c>
      <c r="D30" t="s">
        <v>119</v>
      </c>
      <c r="E30" t="s">
        <v>85</v>
      </c>
      <c r="F30" t="s">
        <v>44</v>
      </c>
      <c r="G30" t="s">
        <v>18</v>
      </c>
      <c r="H30">
        <v>3</v>
      </c>
      <c r="I30">
        <v>2</v>
      </c>
      <c r="J30" t="s">
        <v>205</v>
      </c>
      <c r="K30">
        <v>2.5</v>
      </c>
      <c r="L30">
        <v>1.7</v>
      </c>
      <c r="M30">
        <v>61</v>
      </c>
      <c r="N30" s="2">
        <v>6430</v>
      </c>
      <c r="P30" s="1"/>
      <c r="Q30" s="1"/>
    </row>
    <row r="31" spans="1:17" x14ac:dyDescent="0.25">
      <c r="A31" s="1">
        <v>43415</v>
      </c>
      <c r="B31" t="s">
        <v>157</v>
      </c>
      <c r="C31" t="s">
        <v>58</v>
      </c>
      <c r="D31" t="s">
        <v>83</v>
      </c>
      <c r="E31" t="s">
        <v>62</v>
      </c>
      <c r="F31" t="s">
        <v>43</v>
      </c>
      <c r="G31" t="s">
        <v>18</v>
      </c>
      <c r="H31">
        <v>2</v>
      </c>
      <c r="I31">
        <v>1</v>
      </c>
      <c r="J31" t="s">
        <v>48</v>
      </c>
      <c r="K31">
        <v>4.0999999999999996</v>
      </c>
      <c r="L31">
        <v>0.8</v>
      </c>
      <c r="M31">
        <v>52</v>
      </c>
      <c r="N31" s="2">
        <v>38769</v>
      </c>
      <c r="P31" s="1"/>
      <c r="Q31" s="1"/>
    </row>
    <row r="32" spans="1:17" x14ac:dyDescent="0.25">
      <c r="A32" s="1">
        <v>43429</v>
      </c>
      <c r="B32" t="s">
        <v>153</v>
      </c>
      <c r="C32" t="s">
        <v>58</v>
      </c>
      <c r="D32" t="s">
        <v>84</v>
      </c>
      <c r="E32" t="s">
        <v>62</v>
      </c>
      <c r="F32" t="s">
        <v>43</v>
      </c>
      <c r="G32" t="s">
        <v>18</v>
      </c>
      <c r="H32">
        <v>1</v>
      </c>
      <c r="I32">
        <v>0</v>
      </c>
      <c r="J32" t="s">
        <v>47</v>
      </c>
      <c r="K32">
        <v>1.3</v>
      </c>
      <c r="L32">
        <v>0.7</v>
      </c>
      <c r="M32">
        <v>49</v>
      </c>
      <c r="N32" s="2">
        <v>34064</v>
      </c>
      <c r="Q32" s="1"/>
    </row>
    <row r="33" spans="1:17" x14ac:dyDescent="0.25">
      <c r="A33" s="1">
        <v>43433</v>
      </c>
      <c r="B33" t="s">
        <v>181</v>
      </c>
      <c r="C33" t="s">
        <v>193</v>
      </c>
      <c r="D33" t="s">
        <v>119</v>
      </c>
      <c r="E33" t="s">
        <v>85</v>
      </c>
      <c r="F33" t="s">
        <v>44</v>
      </c>
      <c r="G33" t="s">
        <v>19</v>
      </c>
      <c r="H33">
        <v>0</v>
      </c>
      <c r="I33">
        <v>1</v>
      </c>
      <c r="J33" t="s">
        <v>202</v>
      </c>
      <c r="K33">
        <v>1.1000000000000001</v>
      </c>
      <c r="L33">
        <v>2.4</v>
      </c>
      <c r="M33">
        <v>70</v>
      </c>
      <c r="N33" s="2">
        <v>12882</v>
      </c>
      <c r="P33" s="1"/>
      <c r="Q33" s="1"/>
    </row>
    <row r="34" spans="1:17" x14ac:dyDescent="0.25">
      <c r="A34" s="1">
        <v>43436</v>
      </c>
      <c r="B34" t="s">
        <v>156</v>
      </c>
      <c r="C34" t="s">
        <v>58</v>
      </c>
      <c r="D34" t="s">
        <v>86</v>
      </c>
      <c r="E34" t="s">
        <v>62</v>
      </c>
      <c r="F34" t="s">
        <v>44</v>
      </c>
      <c r="G34" t="s">
        <v>4</v>
      </c>
      <c r="H34">
        <v>1</v>
      </c>
      <c r="I34">
        <v>1</v>
      </c>
      <c r="J34" t="s">
        <v>80</v>
      </c>
      <c r="K34">
        <v>1.7</v>
      </c>
      <c r="L34">
        <v>1</v>
      </c>
      <c r="M34">
        <v>54</v>
      </c>
      <c r="N34" s="2">
        <v>17848</v>
      </c>
    </row>
    <row r="35" spans="1:17" x14ac:dyDescent="0.25">
      <c r="A35" s="1">
        <v>43439</v>
      </c>
      <c r="B35" t="s">
        <v>158</v>
      </c>
      <c r="C35" t="s">
        <v>76</v>
      </c>
      <c r="D35" t="s">
        <v>77</v>
      </c>
      <c r="E35" t="s">
        <v>92</v>
      </c>
      <c r="F35" t="s">
        <v>43</v>
      </c>
      <c r="G35" t="s">
        <v>18</v>
      </c>
      <c r="H35">
        <v>1</v>
      </c>
      <c r="I35">
        <v>0</v>
      </c>
      <c r="J35" t="s">
        <v>206</v>
      </c>
      <c r="M35">
        <v>68</v>
      </c>
      <c r="N35" s="2">
        <v>19908</v>
      </c>
    </row>
    <row r="36" spans="1:17" x14ac:dyDescent="0.25">
      <c r="A36" s="1">
        <v>43442</v>
      </c>
      <c r="B36" t="s">
        <v>153</v>
      </c>
      <c r="C36" t="s">
        <v>58</v>
      </c>
      <c r="D36" t="s">
        <v>87</v>
      </c>
      <c r="E36" t="s">
        <v>64</v>
      </c>
      <c r="F36" t="s">
        <v>44</v>
      </c>
      <c r="G36" t="s">
        <v>4</v>
      </c>
      <c r="H36">
        <v>1</v>
      </c>
      <c r="I36">
        <v>1</v>
      </c>
      <c r="J36" t="s">
        <v>3</v>
      </c>
      <c r="K36">
        <v>1.7</v>
      </c>
      <c r="L36">
        <v>1.2</v>
      </c>
      <c r="M36">
        <v>46</v>
      </c>
      <c r="N36" s="2">
        <v>40057</v>
      </c>
      <c r="P36" s="1"/>
      <c r="Q36" s="1"/>
    </row>
    <row r="37" spans="1:17" x14ac:dyDescent="0.25">
      <c r="A37" s="1">
        <v>43447</v>
      </c>
      <c r="B37" t="s">
        <v>201</v>
      </c>
      <c r="C37" t="s">
        <v>193</v>
      </c>
      <c r="D37" t="s">
        <v>119</v>
      </c>
      <c r="E37" t="s">
        <v>85</v>
      </c>
      <c r="F37" t="s">
        <v>43</v>
      </c>
      <c r="G37" t="s">
        <v>18</v>
      </c>
      <c r="H37">
        <v>3</v>
      </c>
      <c r="I37">
        <v>0</v>
      </c>
      <c r="J37" t="s">
        <v>204</v>
      </c>
      <c r="K37">
        <v>1.8</v>
      </c>
      <c r="L37">
        <v>0.4</v>
      </c>
      <c r="M37">
        <v>58</v>
      </c>
      <c r="N37" s="2">
        <v>34114</v>
      </c>
      <c r="Q37" s="1"/>
    </row>
    <row r="38" spans="1:17" x14ac:dyDescent="0.25">
      <c r="A38" t="s">
        <v>0</v>
      </c>
      <c r="B38" t="s">
        <v>1</v>
      </c>
      <c r="C38" t="s">
        <v>16</v>
      </c>
      <c r="D38" t="s">
        <v>51</v>
      </c>
      <c r="E38" t="s">
        <v>52</v>
      </c>
      <c r="F38" t="s">
        <v>53</v>
      </c>
      <c r="G38" t="s">
        <v>54</v>
      </c>
      <c r="H38" t="s">
        <v>20</v>
      </c>
      <c r="I38" t="s">
        <v>21</v>
      </c>
      <c r="J38" t="s">
        <v>45</v>
      </c>
      <c r="K38" t="s">
        <v>55</v>
      </c>
      <c r="L38" t="s">
        <v>56</v>
      </c>
      <c r="M38" t="s">
        <v>57</v>
      </c>
      <c r="N38" t="s">
        <v>24</v>
      </c>
    </row>
    <row r="39" spans="1:17" x14ac:dyDescent="0.25">
      <c r="A39" s="1">
        <v>43450</v>
      </c>
      <c r="B39" t="s">
        <v>168</v>
      </c>
      <c r="C39" t="s">
        <v>58</v>
      </c>
      <c r="D39" t="s">
        <v>88</v>
      </c>
      <c r="E39" t="s">
        <v>62</v>
      </c>
      <c r="F39" t="s">
        <v>43</v>
      </c>
      <c r="G39" t="s">
        <v>18</v>
      </c>
      <c r="H39">
        <v>2</v>
      </c>
      <c r="I39">
        <v>0</v>
      </c>
      <c r="J39" t="s">
        <v>5</v>
      </c>
      <c r="K39">
        <v>2.1</v>
      </c>
      <c r="L39">
        <v>1</v>
      </c>
      <c r="M39">
        <v>50</v>
      </c>
      <c r="N39" s="2">
        <v>33542</v>
      </c>
    </row>
    <row r="40" spans="1:17" x14ac:dyDescent="0.25">
      <c r="A40" s="1">
        <v>43457</v>
      </c>
      <c r="B40" t="s">
        <v>153</v>
      </c>
      <c r="C40" t="s">
        <v>58</v>
      </c>
      <c r="D40" t="s">
        <v>90</v>
      </c>
      <c r="E40" t="s">
        <v>62</v>
      </c>
      <c r="F40" t="s">
        <v>44</v>
      </c>
      <c r="G40" t="s">
        <v>4</v>
      </c>
      <c r="H40">
        <v>1</v>
      </c>
      <c r="I40">
        <v>1</v>
      </c>
      <c r="J40" t="s">
        <v>82</v>
      </c>
      <c r="K40">
        <v>0.7</v>
      </c>
      <c r="L40">
        <v>1.3</v>
      </c>
      <c r="M40">
        <v>53</v>
      </c>
      <c r="N40" s="2">
        <v>11321</v>
      </c>
      <c r="P40" s="1"/>
      <c r="Q40" s="1"/>
    </row>
    <row r="41" spans="1:17" x14ac:dyDescent="0.25">
      <c r="A41" s="1">
        <v>43471</v>
      </c>
      <c r="B41" t="s">
        <v>153</v>
      </c>
      <c r="C41" t="s">
        <v>58</v>
      </c>
      <c r="D41" t="s">
        <v>93</v>
      </c>
      <c r="E41" t="s">
        <v>62</v>
      </c>
      <c r="F41" t="s">
        <v>43</v>
      </c>
      <c r="G41" t="s">
        <v>4</v>
      </c>
      <c r="H41">
        <v>1</v>
      </c>
      <c r="I41">
        <v>1</v>
      </c>
      <c r="J41" t="s">
        <v>65</v>
      </c>
      <c r="K41">
        <v>1.4</v>
      </c>
      <c r="L41">
        <v>0.7</v>
      </c>
      <c r="M41">
        <v>56</v>
      </c>
      <c r="N41" s="2">
        <v>38603</v>
      </c>
      <c r="P41" s="1"/>
      <c r="Q41" s="1"/>
    </row>
    <row r="42" spans="1:17" x14ac:dyDescent="0.25">
      <c r="A42" s="1">
        <v>43475</v>
      </c>
      <c r="B42" t="s">
        <v>166</v>
      </c>
      <c r="C42" t="s">
        <v>76</v>
      </c>
      <c r="D42" t="s">
        <v>91</v>
      </c>
      <c r="E42" t="s">
        <v>85</v>
      </c>
      <c r="F42" t="s">
        <v>44</v>
      </c>
      <c r="G42" t="s">
        <v>18</v>
      </c>
      <c r="H42">
        <v>3</v>
      </c>
      <c r="I42">
        <v>1</v>
      </c>
      <c r="J42" t="s">
        <v>73</v>
      </c>
      <c r="M42">
        <v>38</v>
      </c>
      <c r="N42" s="2">
        <v>33847</v>
      </c>
      <c r="P42" s="1"/>
    </row>
    <row r="43" spans="1:17" x14ac:dyDescent="0.25">
      <c r="A43" s="1">
        <v>43478</v>
      </c>
      <c r="B43" t="s">
        <v>153</v>
      </c>
      <c r="C43" t="s">
        <v>58</v>
      </c>
      <c r="D43" t="s">
        <v>94</v>
      </c>
      <c r="E43" t="s">
        <v>62</v>
      </c>
      <c r="F43" t="s">
        <v>44</v>
      </c>
      <c r="G43" t="s">
        <v>19</v>
      </c>
      <c r="H43">
        <v>0</v>
      </c>
      <c r="I43">
        <v>2</v>
      </c>
      <c r="J43" t="s">
        <v>73</v>
      </c>
      <c r="K43">
        <v>0.7</v>
      </c>
      <c r="L43">
        <v>0.9</v>
      </c>
      <c r="M43">
        <v>56</v>
      </c>
      <c r="N43" s="2">
        <v>41342</v>
      </c>
    </row>
    <row r="44" spans="1:17" x14ac:dyDescent="0.25">
      <c r="A44" s="1">
        <v>43481</v>
      </c>
      <c r="B44" t="s">
        <v>158</v>
      </c>
      <c r="C44" t="s">
        <v>76</v>
      </c>
      <c r="D44" t="s">
        <v>91</v>
      </c>
      <c r="E44" t="s">
        <v>92</v>
      </c>
      <c r="F44" t="s">
        <v>43</v>
      </c>
      <c r="G44" t="s">
        <v>19</v>
      </c>
      <c r="H44">
        <v>0</v>
      </c>
      <c r="I44">
        <v>1</v>
      </c>
      <c r="J44" t="s">
        <v>73</v>
      </c>
      <c r="M44">
        <v>47</v>
      </c>
      <c r="N44" s="2">
        <v>26456</v>
      </c>
      <c r="P44" s="1"/>
    </row>
    <row r="45" spans="1:17" x14ac:dyDescent="0.25">
      <c r="A45" s="1">
        <v>43484</v>
      </c>
      <c r="B45" t="s">
        <v>153</v>
      </c>
      <c r="C45" t="s">
        <v>58</v>
      </c>
      <c r="D45" t="s">
        <v>97</v>
      </c>
      <c r="E45" t="s">
        <v>64</v>
      </c>
      <c r="F45" t="s">
        <v>44</v>
      </c>
      <c r="G45" t="s">
        <v>19</v>
      </c>
      <c r="H45">
        <v>0</v>
      </c>
      <c r="I45">
        <v>2</v>
      </c>
      <c r="J45" t="s">
        <v>8</v>
      </c>
      <c r="K45">
        <v>0.5</v>
      </c>
      <c r="L45">
        <v>1.5</v>
      </c>
      <c r="M45">
        <v>31</v>
      </c>
      <c r="N45" s="2">
        <v>68232</v>
      </c>
      <c r="P45" s="1"/>
      <c r="Q45" s="1"/>
    </row>
    <row r="46" spans="1:17" x14ac:dyDescent="0.25">
      <c r="A46" s="1">
        <v>43488</v>
      </c>
      <c r="B46" t="s">
        <v>160</v>
      </c>
      <c r="C46" t="s">
        <v>76</v>
      </c>
      <c r="D46" t="s">
        <v>96</v>
      </c>
      <c r="E46" t="s">
        <v>92</v>
      </c>
      <c r="F46" t="s">
        <v>43</v>
      </c>
      <c r="G46" t="s">
        <v>18</v>
      </c>
      <c r="H46">
        <v>2</v>
      </c>
      <c r="I46">
        <v>0</v>
      </c>
      <c r="J46" t="s">
        <v>13</v>
      </c>
      <c r="M46">
        <v>40</v>
      </c>
      <c r="N46" s="2">
        <v>38403</v>
      </c>
      <c r="Q46" s="1"/>
    </row>
    <row r="47" spans="1:17" x14ac:dyDescent="0.25">
      <c r="A47" s="1">
        <v>43491</v>
      </c>
      <c r="B47" t="s">
        <v>154</v>
      </c>
      <c r="C47" t="s">
        <v>58</v>
      </c>
      <c r="D47" t="s">
        <v>98</v>
      </c>
      <c r="E47" t="s">
        <v>64</v>
      </c>
      <c r="F47" t="s">
        <v>43</v>
      </c>
      <c r="G47" t="s">
        <v>18</v>
      </c>
      <c r="H47">
        <v>5</v>
      </c>
      <c r="I47">
        <v>0</v>
      </c>
      <c r="J47" t="s">
        <v>67</v>
      </c>
      <c r="K47">
        <v>4.5999999999999996</v>
      </c>
      <c r="L47">
        <v>0.9</v>
      </c>
      <c r="M47">
        <v>54</v>
      </c>
      <c r="N47" s="2">
        <v>34220</v>
      </c>
      <c r="P47" s="1"/>
      <c r="Q47" s="1"/>
    </row>
    <row r="48" spans="1:17" x14ac:dyDescent="0.25">
      <c r="A48" s="1">
        <v>43495</v>
      </c>
      <c r="B48" t="s">
        <v>160</v>
      </c>
      <c r="C48" t="s">
        <v>76</v>
      </c>
      <c r="D48" t="s">
        <v>96</v>
      </c>
      <c r="E48" t="s">
        <v>92</v>
      </c>
      <c r="F48" t="s">
        <v>44</v>
      </c>
      <c r="G48" t="s">
        <v>19</v>
      </c>
      <c r="H48">
        <v>1</v>
      </c>
      <c r="I48">
        <v>6</v>
      </c>
      <c r="J48" t="s">
        <v>13</v>
      </c>
      <c r="M48">
        <v>39</v>
      </c>
      <c r="N48" s="2">
        <v>58050</v>
      </c>
      <c r="Q48" s="1"/>
    </row>
    <row r="49" spans="1:17" x14ac:dyDescent="0.25">
      <c r="A49" s="1">
        <v>43498</v>
      </c>
      <c r="B49" t="s">
        <v>156</v>
      </c>
      <c r="C49" t="s">
        <v>58</v>
      </c>
      <c r="D49" t="s">
        <v>100</v>
      </c>
      <c r="E49" t="s">
        <v>64</v>
      </c>
      <c r="F49" t="s">
        <v>44</v>
      </c>
      <c r="G49" t="s">
        <v>19</v>
      </c>
      <c r="H49">
        <v>0</v>
      </c>
      <c r="I49">
        <v>1</v>
      </c>
      <c r="J49" t="s">
        <v>50</v>
      </c>
      <c r="K49">
        <v>0.9</v>
      </c>
      <c r="L49">
        <v>1</v>
      </c>
      <c r="M49">
        <v>56</v>
      </c>
      <c r="N49" s="2">
        <v>17503</v>
      </c>
    </row>
    <row r="50" spans="1:17" x14ac:dyDescent="0.25">
      <c r="A50" s="1">
        <v>43506</v>
      </c>
      <c r="B50" t="s">
        <v>157</v>
      </c>
      <c r="C50" t="s">
        <v>58</v>
      </c>
      <c r="D50" t="s">
        <v>101</v>
      </c>
      <c r="E50" t="s">
        <v>62</v>
      </c>
      <c r="F50" t="s">
        <v>43</v>
      </c>
      <c r="G50" t="s">
        <v>4</v>
      </c>
      <c r="H50">
        <v>2</v>
      </c>
      <c r="I50">
        <v>2</v>
      </c>
      <c r="J50" t="s">
        <v>89</v>
      </c>
      <c r="K50">
        <v>1.7</v>
      </c>
      <c r="L50">
        <v>1.3</v>
      </c>
      <c r="M50">
        <v>58</v>
      </c>
      <c r="N50" s="2">
        <v>36343</v>
      </c>
      <c r="Q50" s="1"/>
    </row>
    <row r="51" spans="1:17" x14ac:dyDescent="0.25">
      <c r="A51" s="1">
        <v>43510</v>
      </c>
      <c r="B51" t="s">
        <v>201</v>
      </c>
      <c r="C51" t="s">
        <v>193</v>
      </c>
      <c r="D51" t="s">
        <v>77</v>
      </c>
      <c r="E51" t="s">
        <v>85</v>
      </c>
      <c r="F51" t="s">
        <v>44</v>
      </c>
      <c r="G51" t="s">
        <v>18</v>
      </c>
      <c r="H51">
        <v>1</v>
      </c>
      <c r="I51">
        <v>0</v>
      </c>
      <c r="J51" t="s">
        <v>208</v>
      </c>
      <c r="K51">
        <v>1.8</v>
      </c>
      <c r="L51">
        <v>0.4</v>
      </c>
      <c r="M51">
        <v>54</v>
      </c>
      <c r="N51" s="2">
        <v>19766</v>
      </c>
      <c r="Q51" s="1"/>
    </row>
    <row r="52" spans="1:17" x14ac:dyDescent="0.25">
      <c r="A52" s="1">
        <v>43513</v>
      </c>
      <c r="B52" t="s">
        <v>157</v>
      </c>
      <c r="C52" t="s">
        <v>58</v>
      </c>
      <c r="D52" t="s">
        <v>102</v>
      </c>
      <c r="E52" t="s">
        <v>62</v>
      </c>
      <c r="F52" t="s">
        <v>44</v>
      </c>
      <c r="G52" t="s">
        <v>19</v>
      </c>
      <c r="H52">
        <v>0</v>
      </c>
      <c r="I52">
        <v>3</v>
      </c>
      <c r="J52" t="s">
        <v>10</v>
      </c>
      <c r="K52">
        <v>2.6</v>
      </c>
      <c r="L52">
        <v>1.6</v>
      </c>
      <c r="M52">
        <v>57</v>
      </c>
      <c r="N52" s="2">
        <v>17402</v>
      </c>
      <c r="Q52" s="1"/>
    </row>
    <row r="53" spans="1:17" x14ac:dyDescent="0.25">
      <c r="A53" s="1">
        <v>43516</v>
      </c>
      <c r="B53" t="s">
        <v>209</v>
      </c>
      <c r="C53" t="s">
        <v>193</v>
      </c>
      <c r="D53" t="s">
        <v>77</v>
      </c>
      <c r="E53" t="s">
        <v>92</v>
      </c>
      <c r="F53" t="s">
        <v>43</v>
      </c>
      <c r="G53" t="s">
        <v>18</v>
      </c>
      <c r="H53">
        <v>2</v>
      </c>
      <c r="I53">
        <v>0</v>
      </c>
      <c r="J53" t="s">
        <v>208</v>
      </c>
      <c r="K53">
        <v>2.1</v>
      </c>
      <c r="L53">
        <v>1.9</v>
      </c>
      <c r="M53">
        <v>48</v>
      </c>
      <c r="N53" s="2">
        <v>34521</v>
      </c>
    </row>
    <row r="54" spans="1:17" x14ac:dyDescent="0.25">
      <c r="A54" s="1">
        <v>43519</v>
      </c>
      <c r="B54" t="s">
        <v>153</v>
      </c>
      <c r="C54" t="s">
        <v>58</v>
      </c>
      <c r="D54" t="s">
        <v>103</v>
      </c>
      <c r="E54" t="s">
        <v>64</v>
      </c>
      <c r="F54" t="s">
        <v>43</v>
      </c>
      <c r="G54" t="s">
        <v>19</v>
      </c>
      <c r="H54">
        <v>2</v>
      </c>
      <c r="I54">
        <v>4</v>
      </c>
      <c r="J54" t="s">
        <v>13</v>
      </c>
      <c r="K54">
        <v>1.6</v>
      </c>
      <c r="L54">
        <v>1.8</v>
      </c>
      <c r="M54">
        <v>40</v>
      </c>
      <c r="N54" s="2">
        <v>40661</v>
      </c>
      <c r="Q54" s="1"/>
    </row>
    <row r="55" spans="1:17" x14ac:dyDescent="0.25">
      <c r="A55" s="1">
        <v>43526</v>
      </c>
      <c r="B55" t="s">
        <v>157</v>
      </c>
      <c r="C55" t="s">
        <v>58</v>
      </c>
      <c r="D55" t="s">
        <v>104</v>
      </c>
      <c r="E55" t="s">
        <v>64</v>
      </c>
      <c r="F55" t="s">
        <v>44</v>
      </c>
      <c r="G55" t="s">
        <v>19</v>
      </c>
      <c r="H55">
        <v>1</v>
      </c>
      <c r="I55">
        <v>2</v>
      </c>
      <c r="J55" t="s">
        <v>120</v>
      </c>
      <c r="K55">
        <v>2.2999999999999998</v>
      </c>
      <c r="L55">
        <v>1</v>
      </c>
      <c r="M55">
        <v>71</v>
      </c>
      <c r="N55" s="2">
        <v>6818</v>
      </c>
      <c r="P55" s="1"/>
      <c r="Q55" s="1"/>
    </row>
    <row r="56" spans="1:17" x14ac:dyDescent="0.25">
      <c r="A56" s="1">
        <v>43531</v>
      </c>
      <c r="B56" t="s">
        <v>201</v>
      </c>
      <c r="C56" t="s">
        <v>193</v>
      </c>
      <c r="D56" t="s">
        <v>91</v>
      </c>
      <c r="E56" t="s">
        <v>85</v>
      </c>
      <c r="F56" t="s">
        <v>43</v>
      </c>
      <c r="G56" t="s">
        <v>4</v>
      </c>
      <c r="H56">
        <v>2</v>
      </c>
      <c r="I56">
        <v>2</v>
      </c>
      <c r="J56" t="s">
        <v>210</v>
      </c>
      <c r="K56">
        <v>3.1</v>
      </c>
      <c r="L56">
        <v>0.4</v>
      </c>
      <c r="M56">
        <v>55</v>
      </c>
      <c r="N56" s="2">
        <v>30698</v>
      </c>
      <c r="P56" s="1"/>
    </row>
    <row r="57" spans="1:17" x14ac:dyDescent="0.25">
      <c r="A57" s="1">
        <v>43534</v>
      </c>
      <c r="B57" t="s">
        <v>211</v>
      </c>
      <c r="C57" t="s">
        <v>58</v>
      </c>
      <c r="D57" t="s">
        <v>105</v>
      </c>
      <c r="E57" t="s">
        <v>62</v>
      </c>
      <c r="F57" t="s">
        <v>43</v>
      </c>
      <c r="G57" t="s">
        <v>18</v>
      </c>
      <c r="H57">
        <v>5</v>
      </c>
      <c r="I57">
        <v>2</v>
      </c>
      <c r="J57" t="s">
        <v>49</v>
      </c>
      <c r="K57">
        <v>2.4</v>
      </c>
      <c r="L57">
        <v>1.2</v>
      </c>
      <c r="M57">
        <v>49</v>
      </c>
      <c r="N57" s="2">
        <v>35813</v>
      </c>
    </row>
    <row r="58" spans="1:17" x14ac:dyDescent="0.25">
      <c r="A58" s="1">
        <v>43538</v>
      </c>
      <c r="B58" t="s">
        <v>198</v>
      </c>
      <c r="C58" t="s">
        <v>193</v>
      </c>
      <c r="D58" t="s">
        <v>91</v>
      </c>
      <c r="E58" t="s">
        <v>85</v>
      </c>
      <c r="F58" t="s">
        <v>44</v>
      </c>
      <c r="G58" t="s">
        <v>19</v>
      </c>
      <c r="H58">
        <v>3</v>
      </c>
      <c r="I58">
        <v>4</v>
      </c>
      <c r="J58" t="s">
        <v>210</v>
      </c>
      <c r="K58">
        <v>1.8</v>
      </c>
      <c r="L58">
        <v>3</v>
      </c>
      <c r="M58">
        <v>57</v>
      </c>
      <c r="N58" s="2">
        <v>19020</v>
      </c>
      <c r="P58" s="1"/>
    </row>
    <row r="59" spans="1:17" x14ac:dyDescent="0.25">
      <c r="A59" s="1">
        <v>43541</v>
      </c>
      <c r="B59" t="s">
        <v>167</v>
      </c>
      <c r="C59" t="s">
        <v>58</v>
      </c>
      <c r="D59" t="s">
        <v>106</v>
      </c>
      <c r="E59" t="s">
        <v>62</v>
      </c>
      <c r="F59" t="s">
        <v>44</v>
      </c>
      <c r="G59" t="s">
        <v>18</v>
      </c>
      <c r="H59">
        <v>1</v>
      </c>
      <c r="I59">
        <v>0</v>
      </c>
      <c r="J59" t="s">
        <v>48</v>
      </c>
      <c r="K59">
        <v>1.5</v>
      </c>
      <c r="L59">
        <v>0.7</v>
      </c>
      <c r="M59">
        <v>50</v>
      </c>
      <c r="N59" s="2">
        <v>20219</v>
      </c>
      <c r="P59" s="1"/>
    </row>
    <row r="60" spans="1:17" x14ac:dyDescent="0.25">
      <c r="A60" s="1">
        <v>43555</v>
      </c>
      <c r="B60" t="s">
        <v>153</v>
      </c>
      <c r="C60" t="s">
        <v>58</v>
      </c>
      <c r="D60" t="s">
        <v>107</v>
      </c>
      <c r="E60" t="s">
        <v>62</v>
      </c>
      <c r="F60" t="s">
        <v>43</v>
      </c>
      <c r="G60" t="s">
        <v>19</v>
      </c>
      <c r="H60">
        <v>0</v>
      </c>
      <c r="I60">
        <v>1</v>
      </c>
      <c r="J60" t="s">
        <v>3</v>
      </c>
      <c r="K60">
        <v>0.9</v>
      </c>
      <c r="L60">
        <v>1</v>
      </c>
      <c r="M60">
        <v>60</v>
      </c>
      <c r="N60" s="2">
        <v>38450</v>
      </c>
      <c r="P60" s="1"/>
      <c r="Q60" s="1"/>
    </row>
    <row r="61" spans="1:17" x14ac:dyDescent="0.25">
      <c r="A61" s="1">
        <v>43559</v>
      </c>
      <c r="B61" t="s">
        <v>166</v>
      </c>
      <c r="C61" t="s">
        <v>58</v>
      </c>
      <c r="D61" t="s">
        <v>108</v>
      </c>
      <c r="E61" t="s">
        <v>85</v>
      </c>
      <c r="F61" t="s">
        <v>43</v>
      </c>
      <c r="G61" t="s">
        <v>18</v>
      </c>
      <c r="H61">
        <v>2</v>
      </c>
      <c r="I61">
        <v>0</v>
      </c>
      <c r="J61" t="s">
        <v>80</v>
      </c>
      <c r="K61">
        <v>1.9</v>
      </c>
      <c r="L61">
        <v>0.6</v>
      </c>
      <c r="M61">
        <v>64</v>
      </c>
      <c r="N61" s="2">
        <v>33212</v>
      </c>
      <c r="P61" s="1"/>
      <c r="Q61" s="1"/>
    </row>
    <row r="62" spans="1:17" x14ac:dyDescent="0.25">
      <c r="A62" s="1">
        <v>43562</v>
      </c>
      <c r="B62" t="s">
        <v>153</v>
      </c>
      <c r="C62" t="s">
        <v>58</v>
      </c>
      <c r="D62" t="s">
        <v>109</v>
      </c>
      <c r="E62" t="s">
        <v>62</v>
      </c>
      <c r="F62" t="s">
        <v>44</v>
      </c>
      <c r="G62" t="s">
        <v>18</v>
      </c>
      <c r="H62">
        <v>2</v>
      </c>
      <c r="I62">
        <v>0</v>
      </c>
      <c r="J62" t="s">
        <v>47</v>
      </c>
      <c r="K62">
        <v>2.1</v>
      </c>
      <c r="L62">
        <v>1.4</v>
      </c>
      <c r="M62">
        <v>61</v>
      </c>
      <c r="N62" s="2">
        <v>17989</v>
      </c>
    </row>
    <row r="63" spans="1:17" x14ac:dyDescent="0.25">
      <c r="A63" s="1">
        <v>43568</v>
      </c>
      <c r="B63" t="s">
        <v>156</v>
      </c>
      <c r="C63" t="s">
        <v>58</v>
      </c>
      <c r="D63" t="s">
        <v>110</v>
      </c>
      <c r="E63" t="s">
        <v>64</v>
      </c>
      <c r="F63" t="s">
        <v>43</v>
      </c>
      <c r="G63" t="s">
        <v>18</v>
      </c>
      <c r="H63">
        <v>3</v>
      </c>
      <c r="I63">
        <v>2</v>
      </c>
      <c r="J63" t="s">
        <v>11</v>
      </c>
      <c r="K63">
        <v>2</v>
      </c>
      <c r="L63">
        <v>1</v>
      </c>
      <c r="M63">
        <v>39</v>
      </c>
      <c r="N63" s="2">
        <v>42855</v>
      </c>
      <c r="P63" s="1"/>
    </row>
    <row r="64" spans="1:17" x14ac:dyDescent="0.25">
      <c r="A64" s="1">
        <v>43576</v>
      </c>
      <c r="B64" t="s">
        <v>212</v>
      </c>
      <c r="C64" t="s">
        <v>58</v>
      </c>
      <c r="D64" t="s">
        <v>111</v>
      </c>
      <c r="E64" t="s">
        <v>62</v>
      </c>
      <c r="F64" t="s">
        <v>44</v>
      </c>
      <c r="G64" t="s">
        <v>19</v>
      </c>
      <c r="H64">
        <v>0</v>
      </c>
      <c r="I64">
        <v>3</v>
      </c>
      <c r="J64" t="s">
        <v>12</v>
      </c>
      <c r="K64">
        <v>0.7</v>
      </c>
      <c r="L64">
        <v>2.9</v>
      </c>
      <c r="M64">
        <v>63</v>
      </c>
      <c r="N64" s="2">
        <v>11495</v>
      </c>
      <c r="P64" s="1"/>
      <c r="Q64" s="1"/>
    </row>
    <row r="65" spans="1:17" x14ac:dyDescent="0.25">
      <c r="A65" s="1">
        <v>43580</v>
      </c>
      <c r="B65" t="s">
        <v>166</v>
      </c>
      <c r="C65" t="s">
        <v>58</v>
      </c>
      <c r="D65" t="s">
        <v>112</v>
      </c>
      <c r="E65" t="s">
        <v>85</v>
      </c>
      <c r="F65" t="s">
        <v>43</v>
      </c>
      <c r="G65" t="s">
        <v>18</v>
      </c>
      <c r="H65">
        <v>5</v>
      </c>
      <c r="I65">
        <v>0</v>
      </c>
      <c r="J65" t="s">
        <v>46</v>
      </c>
      <c r="K65">
        <v>3.8</v>
      </c>
      <c r="L65">
        <v>0.9</v>
      </c>
      <c r="M65">
        <v>50</v>
      </c>
      <c r="N65" s="2">
        <v>31636</v>
      </c>
      <c r="Q65" s="1"/>
    </row>
    <row r="66" spans="1:17" x14ac:dyDescent="0.25">
      <c r="A66" s="1">
        <v>43583</v>
      </c>
      <c r="B66" t="s">
        <v>212</v>
      </c>
      <c r="C66" t="s">
        <v>58</v>
      </c>
      <c r="D66" t="s">
        <v>113</v>
      </c>
      <c r="E66" t="s">
        <v>62</v>
      </c>
      <c r="F66" t="s">
        <v>44</v>
      </c>
      <c r="G66" t="s">
        <v>19</v>
      </c>
      <c r="H66">
        <v>0</v>
      </c>
      <c r="I66">
        <v>1</v>
      </c>
      <c r="J66" t="s">
        <v>5</v>
      </c>
      <c r="K66">
        <v>0.6</v>
      </c>
      <c r="L66">
        <v>1</v>
      </c>
      <c r="M66">
        <v>57</v>
      </c>
      <c r="N66" s="2">
        <v>11281</v>
      </c>
      <c r="Q66" s="1"/>
    </row>
    <row r="67" spans="1:17" x14ac:dyDescent="0.25">
      <c r="A67" s="1">
        <v>43588</v>
      </c>
      <c r="B67" t="s">
        <v>181</v>
      </c>
      <c r="C67" t="s">
        <v>58</v>
      </c>
      <c r="D67" t="s">
        <v>114</v>
      </c>
      <c r="E67" t="s">
        <v>60</v>
      </c>
      <c r="F67" t="s">
        <v>43</v>
      </c>
      <c r="G67" t="s">
        <v>19</v>
      </c>
      <c r="H67">
        <v>0</v>
      </c>
      <c r="I67">
        <v>3</v>
      </c>
      <c r="J67" t="s">
        <v>82</v>
      </c>
      <c r="K67">
        <v>0.3</v>
      </c>
      <c r="L67">
        <v>0.9</v>
      </c>
      <c r="M67">
        <v>64</v>
      </c>
      <c r="N67" s="2">
        <v>32797</v>
      </c>
      <c r="P67" s="1"/>
    </row>
    <row r="68" spans="1:17" x14ac:dyDescent="0.25">
      <c r="A68" s="1">
        <v>43597</v>
      </c>
      <c r="B68" t="s">
        <v>157</v>
      </c>
      <c r="C68" t="s">
        <v>58</v>
      </c>
      <c r="D68" t="s">
        <v>115</v>
      </c>
      <c r="E68" t="s">
        <v>62</v>
      </c>
      <c r="F68" t="s">
        <v>44</v>
      </c>
      <c r="G68" t="s">
        <v>4</v>
      </c>
      <c r="H68">
        <v>1</v>
      </c>
      <c r="I68">
        <v>1</v>
      </c>
      <c r="J68" t="s">
        <v>65</v>
      </c>
      <c r="K68">
        <v>0.8</v>
      </c>
      <c r="L68">
        <v>1.3</v>
      </c>
      <c r="M68">
        <v>51</v>
      </c>
      <c r="N68" s="2">
        <v>60234</v>
      </c>
      <c r="Q68" s="1"/>
    </row>
    <row r="69" spans="1:17" x14ac:dyDescent="0.25">
      <c r="A69" s="1">
        <v>43603</v>
      </c>
      <c r="B69" t="s">
        <v>153</v>
      </c>
      <c r="C69" t="s">
        <v>58</v>
      </c>
      <c r="D69" t="s">
        <v>116</v>
      </c>
      <c r="E69" t="s">
        <v>64</v>
      </c>
      <c r="F69" t="s">
        <v>43</v>
      </c>
      <c r="G69" t="s">
        <v>18</v>
      </c>
      <c r="H69">
        <v>2</v>
      </c>
      <c r="I69">
        <v>0</v>
      </c>
      <c r="J69" t="s">
        <v>73</v>
      </c>
      <c r="K69">
        <v>1.5</v>
      </c>
      <c r="L69">
        <v>0.7</v>
      </c>
      <c r="M69">
        <v>47</v>
      </c>
      <c r="N69" s="2">
        <v>28060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07D5D-421F-4E84-80CA-735F705C9130}">
  <dimension ref="A1:Q64"/>
  <sheetViews>
    <sheetView topLeftCell="A15" workbookViewId="0">
      <selection activeCell="K67" sqref="K67"/>
    </sheetView>
  </sheetViews>
  <sheetFormatPr defaultRowHeight="15" x14ac:dyDescent="0.25"/>
  <cols>
    <col min="1" max="1" width="11.42578125" customWidth="1"/>
  </cols>
  <sheetData>
    <row r="1" spans="1:17" x14ac:dyDescent="0.25">
      <c r="A1" t="s">
        <v>217</v>
      </c>
    </row>
    <row r="2" spans="1:17" x14ac:dyDescent="0.25">
      <c r="A2" t="s">
        <v>218</v>
      </c>
    </row>
    <row r="3" spans="1:17" x14ac:dyDescent="0.25">
      <c r="A3" t="s">
        <v>219</v>
      </c>
    </row>
    <row r="4" spans="1:17" x14ac:dyDescent="0.25">
      <c r="A4" t="s">
        <v>220</v>
      </c>
    </row>
    <row r="8" spans="1:17" x14ac:dyDescent="0.25">
      <c r="A8" t="s">
        <v>191</v>
      </c>
      <c r="B8" t="s">
        <v>1</v>
      </c>
      <c r="C8" t="s">
        <v>16</v>
      </c>
      <c r="D8" t="s">
        <v>51</v>
      </c>
      <c r="E8" t="s">
        <v>52</v>
      </c>
      <c r="F8" t="s">
        <v>53</v>
      </c>
      <c r="G8" t="s">
        <v>54</v>
      </c>
      <c r="H8" t="s">
        <v>20</v>
      </c>
      <c r="I8" t="s">
        <v>21</v>
      </c>
      <c r="J8" t="s">
        <v>45</v>
      </c>
      <c r="K8" t="s">
        <v>55</v>
      </c>
      <c r="L8" t="s">
        <v>56</v>
      </c>
      <c r="M8" t="s">
        <v>57</v>
      </c>
      <c r="N8" t="s">
        <v>24</v>
      </c>
    </row>
    <row r="9" spans="1:17" x14ac:dyDescent="0.25">
      <c r="A9" s="1">
        <v>43695</v>
      </c>
      <c r="B9" t="s">
        <v>162</v>
      </c>
      <c r="C9" t="s">
        <v>58</v>
      </c>
      <c r="D9" t="s">
        <v>59</v>
      </c>
      <c r="E9" t="s">
        <v>62</v>
      </c>
      <c r="F9" t="s">
        <v>44</v>
      </c>
      <c r="G9" t="s">
        <v>18</v>
      </c>
      <c r="H9">
        <v>2</v>
      </c>
      <c r="I9">
        <v>0</v>
      </c>
      <c r="J9" t="s">
        <v>48</v>
      </c>
      <c r="K9">
        <v>1.6</v>
      </c>
      <c r="L9">
        <v>0.2</v>
      </c>
      <c r="M9">
        <v>55</v>
      </c>
      <c r="N9" s="2">
        <v>19832</v>
      </c>
      <c r="P9" s="1"/>
      <c r="Q9" s="1"/>
    </row>
    <row r="10" spans="1:17" x14ac:dyDescent="0.25">
      <c r="A10" s="1">
        <v>43700</v>
      </c>
      <c r="B10" t="s">
        <v>155</v>
      </c>
      <c r="C10" t="s">
        <v>58</v>
      </c>
      <c r="D10" t="s">
        <v>61</v>
      </c>
      <c r="E10" t="s">
        <v>60</v>
      </c>
      <c r="F10" t="s">
        <v>44</v>
      </c>
      <c r="G10" t="s">
        <v>18</v>
      </c>
      <c r="H10">
        <v>1</v>
      </c>
      <c r="I10">
        <v>0</v>
      </c>
      <c r="J10" t="s">
        <v>14</v>
      </c>
      <c r="K10">
        <v>1.1000000000000001</v>
      </c>
      <c r="L10">
        <v>0.5</v>
      </c>
      <c r="M10">
        <v>54</v>
      </c>
      <c r="N10" s="2">
        <v>15849</v>
      </c>
    </row>
    <row r="11" spans="1:17" x14ac:dyDescent="0.25">
      <c r="A11" s="1">
        <v>43707</v>
      </c>
      <c r="B11" t="s">
        <v>155</v>
      </c>
      <c r="C11" t="s">
        <v>58</v>
      </c>
      <c r="D11" t="s">
        <v>63</v>
      </c>
      <c r="E11" t="s">
        <v>60</v>
      </c>
      <c r="F11" t="s">
        <v>43</v>
      </c>
      <c r="G11" t="s">
        <v>4</v>
      </c>
      <c r="H11">
        <v>1</v>
      </c>
      <c r="I11">
        <v>1</v>
      </c>
      <c r="J11" t="s">
        <v>50</v>
      </c>
      <c r="K11">
        <v>1.5</v>
      </c>
      <c r="L11">
        <v>0.4</v>
      </c>
      <c r="M11">
        <v>63</v>
      </c>
      <c r="N11" s="2">
        <v>37787</v>
      </c>
      <c r="P11" s="1"/>
      <c r="Q11" s="1"/>
    </row>
    <row r="12" spans="1:17" x14ac:dyDescent="0.25">
      <c r="A12" s="1">
        <v>43723</v>
      </c>
      <c r="B12" t="s">
        <v>212</v>
      </c>
      <c r="C12" t="s">
        <v>58</v>
      </c>
      <c r="D12" t="s">
        <v>66</v>
      </c>
      <c r="E12" t="s">
        <v>62</v>
      </c>
      <c r="F12" t="s">
        <v>44</v>
      </c>
      <c r="G12" t="s">
        <v>18</v>
      </c>
      <c r="H12">
        <v>1</v>
      </c>
      <c r="I12">
        <v>0</v>
      </c>
      <c r="J12" t="s">
        <v>80</v>
      </c>
      <c r="K12">
        <v>1.1000000000000001</v>
      </c>
      <c r="L12">
        <v>0.8</v>
      </c>
      <c r="M12">
        <v>61</v>
      </c>
      <c r="N12" s="2">
        <v>16309</v>
      </c>
      <c r="P12" s="1"/>
      <c r="Q12" s="1"/>
    </row>
    <row r="13" spans="1:17" x14ac:dyDescent="0.25">
      <c r="A13" s="1">
        <v>43727</v>
      </c>
      <c r="B13" t="s">
        <v>207</v>
      </c>
      <c r="C13" t="s">
        <v>193</v>
      </c>
      <c r="D13" t="s">
        <v>119</v>
      </c>
      <c r="E13" t="s">
        <v>85</v>
      </c>
      <c r="F13" t="s">
        <v>44</v>
      </c>
      <c r="G13" t="s">
        <v>18</v>
      </c>
      <c r="H13">
        <v>3</v>
      </c>
      <c r="I13">
        <v>0</v>
      </c>
      <c r="J13" t="s">
        <v>221</v>
      </c>
      <c r="K13">
        <v>1.7</v>
      </c>
      <c r="L13">
        <v>0.7</v>
      </c>
      <c r="M13">
        <v>70</v>
      </c>
      <c r="N13" s="2">
        <v>30826</v>
      </c>
      <c r="P13" s="1"/>
    </row>
    <row r="14" spans="1:17" x14ac:dyDescent="0.25">
      <c r="A14" s="1">
        <v>43730</v>
      </c>
      <c r="B14" t="s">
        <v>181</v>
      </c>
      <c r="C14" t="s">
        <v>58</v>
      </c>
      <c r="D14" t="s">
        <v>68</v>
      </c>
      <c r="E14" t="s">
        <v>62</v>
      </c>
      <c r="F14" t="s">
        <v>43</v>
      </c>
      <c r="G14" t="s">
        <v>19</v>
      </c>
      <c r="H14">
        <v>0</v>
      </c>
      <c r="I14">
        <v>1</v>
      </c>
      <c r="J14" t="s">
        <v>8</v>
      </c>
      <c r="K14">
        <v>0.5</v>
      </c>
      <c r="L14">
        <v>1.2</v>
      </c>
      <c r="M14">
        <v>55</v>
      </c>
      <c r="N14" s="2">
        <v>42354</v>
      </c>
      <c r="P14" s="1"/>
    </row>
    <row r="15" spans="1:17" x14ac:dyDescent="0.25">
      <c r="A15" s="1">
        <v>43734</v>
      </c>
      <c r="B15" t="s">
        <v>162</v>
      </c>
      <c r="C15" t="s">
        <v>58</v>
      </c>
      <c r="D15" t="s">
        <v>71</v>
      </c>
      <c r="E15" t="s">
        <v>85</v>
      </c>
      <c r="F15" t="s">
        <v>44</v>
      </c>
      <c r="G15" t="s">
        <v>19</v>
      </c>
      <c r="H15">
        <v>2</v>
      </c>
      <c r="I15">
        <v>3</v>
      </c>
      <c r="J15" t="s">
        <v>89</v>
      </c>
      <c r="K15">
        <v>1.4</v>
      </c>
      <c r="L15">
        <v>1.5</v>
      </c>
      <c r="M15">
        <v>53</v>
      </c>
      <c r="N15" s="2">
        <v>5434</v>
      </c>
      <c r="P15" s="1"/>
    </row>
    <row r="16" spans="1:17" x14ac:dyDescent="0.25">
      <c r="A16" s="1">
        <v>43737</v>
      </c>
      <c r="B16" t="s">
        <v>181</v>
      </c>
      <c r="C16" t="s">
        <v>58</v>
      </c>
      <c r="D16" t="s">
        <v>72</v>
      </c>
      <c r="E16" t="s">
        <v>62</v>
      </c>
      <c r="F16" t="s">
        <v>43</v>
      </c>
      <c r="G16" t="s">
        <v>18</v>
      </c>
      <c r="H16">
        <v>3</v>
      </c>
      <c r="I16">
        <v>2</v>
      </c>
      <c r="J16" t="s">
        <v>49</v>
      </c>
      <c r="K16">
        <v>1.7</v>
      </c>
      <c r="L16">
        <v>0.8</v>
      </c>
      <c r="M16">
        <v>52</v>
      </c>
      <c r="N16" s="2">
        <v>37414</v>
      </c>
      <c r="P16" s="1"/>
      <c r="Q16" s="1"/>
    </row>
    <row r="17" spans="1:17" x14ac:dyDescent="0.25">
      <c r="A17" s="1">
        <v>43741</v>
      </c>
      <c r="B17" t="s">
        <v>181</v>
      </c>
      <c r="C17" t="s">
        <v>193</v>
      </c>
      <c r="D17" t="s">
        <v>119</v>
      </c>
      <c r="E17" t="s">
        <v>85</v>
      </c>
      <c r="F17" t="s">
        <v>43</v>
      </c>
      <c r="G17" t="s">
        <v>18</v>
      </c>
      <c r="H17">
        <v>1</v>
      </c>
      <c r="I17">
        <v>0</v>
      </c>
      <c r="J17" t="s">
        <v>222</v>
      </c>
      <c r="K17">
        <v>2.2000000000000002</v>
      </c>
      <c r="L17">
        <v>0.1</v>
      </c>
      <c r="M17">
        <v>77</v>
      </c>
      <c r="N17" s="2">
        <v>30008</v>
      </c>
      <c r="P17" s="1"/>
      <c r="Q17" s="1"/>
    </row>
    <row r="18" spans="1:17" x14ac:dyDescent="0.25">
      <c r="A18" s="1">
        <v>43744</v>
      </c>
      <c r="B18" t="s">
        <v>181</v>
      </c>
      <c r="C18" t="s">
        <v>58</v>
      </c>
      <c r="D18" t="s">
        <v>74</v>
      </c>
      <c r="E18" t="s">
        <v>62</v>
      </c>
      <c r="F18" t="s">
        <v>44</v>
      </c>
      <c r="G18" t="s">
        <v>19</v>
      </c>
      <c r="H18">
        <v>0</v>
      </c>
      <c r="I18">
        <v>4</v>
      </c>
      <c r="J18" t="s">
        <v>13</v>
      </c>
      <c r="K18">
        <v>2.5</v>
      </c>
      <c r="L18">
        <v>2.1</v>
      </c>
      <c r="M18">
        <v>44</v>
      </c>
      <c r="N18" s="2">
        <v>81331</v>
      </c>
      <c r="P18" s="1"/>
      <c r="Q18" s="1"/>
    </row>
    <row r="19" spans="1:17" x14ac:dyDescent="0.25">
      <c r="A19" s="1">
        <v>43758</v>
      </c>
      <c r="B19" t="s">
        <v>181</v>
      </c>
      <c r="C19" t="s">
        <v>58</v>
      </c>
      <c r="D19" t="s">
        <v>75</v>
      </c>
      <c r="E19" t="s">
        <v>62</v>
      </c>
      <c r="F19" t="s">
        <v>43</v>
      </c>
      <c r="G19" t="s">
        <v>18</v>
      </c>
      <c r="H19">
        <v>1</v>
      </c>
      <c r="I19">
        <v>0</v>
      </c>
      <c r="J19" t="s">
        <v>67</v>
      </c>
      <c r="K19">
        <v>2.7</v>
      </c>
      <c r="L19">
        <v>0.5</v>
      </c>
      <c r="M19">
        <v>59</v>
      </c>
      <c r="N19" s="2">
        <v>34612</v>
      </c>
      <c r="P19" s="1"/>
      <c r="Q19" s="1"/>
    </row>
    <row r="20" spans="1:17" x14ac:dyDescent="0.25">
      <c r="A20" s="1">
        <v>43762</v>
      </c>
      <c r="B20" t="s">
        <v>181</v>
      </c>
      <c r="C20" t="s">
        <v>193</v>
      </c>
      <c r="D20" t="s">
        <v>119</v>
      </c>
      <c r="E20" t="s">
        <v>85</v>
      </c>
      <c r="F20" t="s">
        <v>43</v>
      </c>
      <c r="G20" t="s">
        <v>18</v>
      </c>
      <c r="H20">
        <v>3</v>
      </c>
      <c r="I20">
        <v>0</v>
      </c>
      <c r="J20" t="s">
        <v>223</v>
      </c>
      <c r="K20">
        <v>2.4</v>
      </c>
      <c r="L20">
        <v>0.1</v>
      </c>
      <c r="M20">
        <v>73</v>
      </c>
      <c r="N20" s="2">
        <v>26165</v>
      </c>
      <c r="P20" s="1"/>
      <c r="Q20" s="1"/>
    </row>
    <row r="21" spans="1:17" x14ac:dyDescent="0.25">
      <c r="A21" s="1">
        <v>43765</v>
      </c>
      <c r="B21" t="s">
        <v>211</v>
      </c>
      <c r="C21" t="s">
        <v>58</v>
      </c>
      <c r="D21" t="s">
        <v>79</v>
      </c>
      <c r="E21" t="s">
        <v>62</v>
      </c>
      <c r="F21" t="s">
        <v>43</v>
      </c>
      <c r="G21" t="s">
        <v>18</v>
      </c>
      <c r="H21">
        <v>2</v>
      </c>
      <c r="I21">
        <v>0</v>
      </c>
      <c r="J21" t="s">
        <v>12</v>
      </c>
      <c r="K21">
        <v>2</v>
      </c>
      <c r="L21">
        <v>0.7</v>
      </c>
      <c r="M21">
        <v>63</v>
      </c>
      <c r="N21" s="2">
        <v>38181</v>
      </c>
      <c r="P21" s="1"/>
      <c r="Q21" s="1"/>
    </row>
    <row r="22" spans="1:17" x14ac:dyDescent="0.25">
      <c r="A22" s="1">
        <v>43768</v>
      </c>
      <c r="B22" t="s">
        <v>224</v>
      </c>
      <c r="C22" t="s">
        <v>58</v>
      </c>
      <c r="D22" t="s">
        <v>81</v>
      </c>
      <c r="E22" t="s">
        <v>92</v>
      </c>
      <c r="F22" t="s">
        <v>44</v>
      </c>
      <c r="G22" t="s">
        <v>4</v>
      </c>
      <c r="H22">
        <v>1</v>
      </c>
      <c r="I22">
        <v>1</v>
      </c>
      <c r="J22" t="s">
        <v>3</v>
      </c>
      <c r="K22">
        <v>0.6</v>
      </c>
      <c r="L22">
        <v>0.8</v>
      </c>
      <c r="M22">
        <v>54</v>
      </c>
      <c r="N22" s="2">
        <v>37881</v>
      </c>
      <c r="P22" s="1"/>
      <c r="Q22" s="1"/>
    </row>
    <row r="23" spans="1:17" x14ac:dyDescent="0.25">
      <c r="A23" s="1">
        <v>43771</v>
      </c>
      <c r="B23" t="s">
        <v>211</v>
      </c>
      <c r="C23" t="s">
        <v>58</v>
      </c>
      <c r="D23" t="s">
        <v>83</v>
      </c>
      <c r="E23" t="s">
        <v>64</v>
      </c>
      <c r="F23" t="s">
        <v>43</v>
      </c>
      <c r="G23" t="s">
        <v>4</v>
      </c>
      <c r="H23">
        <v>1</v>
      </c>
      <c r="I23">
        <v>1</v>
      </c>
      <c r="J23" t="s">
        <v>65</v>
      </c>
      <c r="K23">
        <v>0.7</v>
      </c>
      <c r="L23">
        <v>2.8</v>
      </c>
      <c r="M23">
        <v>55</v>
      </c>
      <c r="N23" s="2">
        <v>39957</v>
      </c>
      <c r="Q23" s="1"/>
    </row>
    <row r="24" spans="1:17" x14ac:dyDescent="0.25">
      <c r="A24" s="1">
        <v>43776</v>
      </c>
      <c r="B24" t="s">
        <v>201</v>
      </c>
      <c r="C24" t="s">
        <v>193</v>
      </c>
      <c r="D24" t="s">
        <v>119</v>
      </c>
      <c r="E24" t="s">
        <v>85</v>
      </c>
      <c r="F24" t="s">
        <v>44</v>
      </c>
      <c r="G24" t="s">
        <v>18</v>
      </c>
      <c r="H24">
        <v>5</v>
      </c>
      <c r="I24">
        <v>2</v>
      </c>
      <c r="J24" t="s">
        <v>223</v>
      </c>
      <c r="K24">
        <v>4.5</v>
      </c>
      <c r="L24">
        <v>1.6</v>
      </c>
      <c r="M24">
        <v>72</v>
      </c>
      <c r="N24" s="2">
        <v>2848</v>
      </c>
    </row>
    <row r="25" spans="1:17" x14ac:dyDescent="0.25">
      <c r="A25" s="1">
        <v>43779</v>
      </c>
      <c r="B25" t="s">
        <v>181</v>
      </c>
      <c r="C25" t="s">
        <v>58</v>
      </c>
      <c r="D25" t="s">
        <v>84</v>
      </c>
      <c r="E25" t="s">
        <v>62</v>
      </c>
      <c r="F25" t="s">
        <v>44</v>
      </c>
      <c r="G25" t="s">
        <v>18</v>
      </c>
      <c r="H25">
        <v>2</v>
      </c>
      <c r="I25">
        <v>1</v>
      </c>
      <c r="J25" t="s">
        <v>11</v>
      </c>
      <c r="K25">
        <v>0.9</v>
      </c>
      <c r="L25">
        <v>1.9</v>
      </c>
      <c r="M25">
        <v>46</v>
      </c>
      <c r="N25" s="2">
        <v>52123</v>
      </c>
      <c r="P25" s="1"/>
    </row>
    <row r="26" spans="1:17" x14ac:dyDescent="0.25">
      <c r="A26" s="1">
        <v>43793</v>
      </c>
      <c r="B26" t="s">
        <v>181</v>
      </c>
      <c r="C26" t="s">
        <v>58</v>
      </c>
      <c r="D26" t="s">
        <v>86</v>
      </c>
      <c r="E26" t="s">
        <v>62</v>
      </c>
      <c r="F26" t="s">
        <v>44</v>
      </c>
      <c r="G26" t="s">
        <v>18</v>
      </c>
      <c r="H26">
        <v>1</v>
      </c>
      <c r="I26">
        <v>0</v>
      </c>
      <c r="J26" t="s">
        <v>47</v>
      </c>
      <c r="K26">
        <v>1.4</v>
      </c>
      <c r="L26">
        <v>0.5</v>
      </c>
      <c r="M26">
        <v>54</v>
      </c>
      <c r="N26" s="2">
        <v>18169</v>
      </c>
      <c r="P26" s="1"/>
      <c r="Q26" s="1"/>
    </row>
    <row r="27" spans="1:17" x14ac:dyDescent="0.25">
      <c r="A27" s="1">
        <v>43797</v>
      </c>
      <c r="B27" t="s">
        <v>181</v>
      </c>
      <c r="C27" t="s">
        <v>193</v>
      </c>
      <c r="D27" t="s">
        <v>119</v>
      </c>
      <c r="E27" t="s">
        <v>85</v>
      </c>
      <c r="F27" t="s">
        <v>43</v>
      </c>
      <c r="G27" t="s">
        <v>18</v>
      </c>
      <c r="H27">
        <v>2</v>
      </c>
      <c r="I27">
        <v>0</v>
      </c>
      <c r="J27" t="s">
        <v>221</v>
      </c>
      <c r="K27">
        <v>0.8</v>
      </c>
      <c r="L27">
        <v>0.2</v>
      </c>
      <c r="M27">
        <v>72</v>
      </c>
      <c r="N27" s="2">
        <v>19803</v>
      </c>
      <c r="Q27" s="1"/>
    </row>
    <row r="28" spans="1:17" x14ac:dyDescent="0.25">
      <c r="A28" s="1">
        <v>43800</v>
      </c>
      <c r="B28" t="s">
        <v>168</v>
      </c>
      <c r="C28" t="s">
        <v>58</v>
      </c>
      <c r="D28" t="s">
        <v>87</v>
      </c>
      <c r="E28" t="s">
        <v>62</v>
      </c>
      <c r="F28" t="s">
        <v>43</v>
      </c>
      <c r="G28" t="s">
        <v>18</v>
      </c>
      <c r="H28">
        <v>1</v>
      </c>
      <c r="I28">
        <v>0</v>
      </c>
      <c r="J28" t="s">
        <v>82</v>
      </c>
      <c r="K28">
        <v>2.1</v>
      </c>
      <c r="L28">
        <v>0.7</v>
      </c>
      <c r="M28">
        <v>62</v>
      </c>
      <c r="N28" s="2">
        <v>33648</v>
      </c>
      <c r="P28" s="1"/>
      <c r="Q28" s="1"/>
    </row>
    <row r="29" spans="1:17" x14ac:dyDescent="0.25">
      <c r="A29" s="1">
        <v>43807</v>
      </c>
      <c r="B29" t="s">
        <v>181</v>
      </c>
      <c r="C29" t="s">
        <v>58</v>
      </c>
      <c r="D29" t="s">
        <v>88</v>
      </c>
      <c r="E29" t="s">
        <v>62</v>
      </c>
      <c r="F29" t="s">
        <v>44</v>
      </c>
      <c r="G29" t="s">
        <v>4</v>
      </c>
      <c r="H29">
        <v>1</v>
      </c>
      <c r="I29">
        <v>1</v>
      </c>
      <c r="J29" t="s">
        <v>9</v>
      </c>
      <c r="K29">
        <v>1.5</v>
      </c>
      <c r="L29">
        <v>0.8</v>
      </c>
      <c r="M29">
        <v>60</v>
      </c>
      <c r="N29" s="2">
        <v>15045</v>
      </c>
      <c r="P29" s="1"/>
      <c r="Q29" s="1"/>
    </row>
    <row r="30" spans="1:17" x14ac:dyDescent="0.25">
      <c r="A30" s="1">
        <v>43811</v>
      </c>
      <c r="B30" t="s">
        <v>225</v>
      </c>
      <c r="C30" t="s">
        <v>193</v>
      </c>
      <c r="D30" t="s">
        <v>119</v>
      </c>
      <c r="E30" t="s">
        <v>85</v>
      </c>
      <c r="F30" t="s">
        <v>44</v>
      </c>
      <c r="G30" t="s">
        <v>19</v>
      </c>
      <c r="H30">
        <v>0</v>
      </c>
      <c r="I30">
        <v>1</v>
      </c>
      <c r="J30" t="s">
        <v>222</v>
      </c>
      <c r="K30">
        <v>1.5</v>
      </c>
      <c r="L30">
        <v>1.1000000000000001</v>
      </c>
      <c r="M30">
        <v>74</v>
      </c>
      <c r="N30" s="2">
        <v>5608</v>
      </c>
      <c r="Q30" s="1"/>
    </row>
    <row r="31" spans="1:17" x14ac:dyDescent="0.25">
      <c r="A31" s="1">
        <v>43814</v>
      </c>
      <c r="B31" t="s">
        <v>157</v>
      </c>
      <c r="C31" t="s">
        <v>58</v>
      </c>
      <c r="D31" t="s">
        <v>90</v>
      </c>
      <c r="E31" t="s">
        <v>62</v>
      </c>
      <c r="F31" t="s">
        <v>43</v>
      </c>
      <c r="G31" t="s">
        <v>19</v>
      </c>
      <c r="H31">
        <v>1</v>
      </c>
      <c r="I31">
        <v>2</v>
      </c>
      <c r="J31" t="s">
        <v>10</v>
      </c>
      <c r="K31">
        <v>1.7</v>
      </c>
      <c r="L31">
        <v>1.5</v>
      </c>
      <c r="M31">
        <v>72</v>
      </c>
      <c r="N31" s="2">
        <v>36521</v>
      </c>
      <c r="P31" s="1"/>
    </row>
    <row r="32" spans="1:17" x14ac:dyDescent="0.25">
      <c r="A32" s="1">
        <v>43817</v>
      </c>
      <c r="B32" t="s">
        <v>209</v>
      </c>
      <c r="C32" t="s">
        <v>76</v>
      </c>
      <c r="D32" t="s">
        <v>124</v>
      </c>
      <c r="E32" t="s">
        <v>92</v>
      </c>
      <c r="F32" t="s">
        <v>44</v>
      </c>
      <c r="G32" t="s">
        <v>18</v>
      </c>
      <c r="H32">
        <v>1</v>
      </c>
      <c r="I32">
        <v>0</v>
      </c>
      <c r="J32" t="s">
        <v>226</v>
      </c>
    </row>
    <row r="33" spans="1:17" x14ac:dyDescent="0.25">
      <c r="A33" s="1">
        <v>43820</v>
      </c>
      <c r="B33" t="s">
        <v>154</v>
      </c>
      <c r="C33" t="s">
        <v>58</v>
      </c>
      <c r="D33" t="s">
        <v>93</v>
      </c>
      <c r="E33" t="s">
        <v>64</v>
      </c>
      <c r="F33" t="s">
        <v>44</v>
      </c>
      <c r="G33" t="s">
        <v>18</v>
      </c>
      <c r="H33">
        <v>2</v>
      </c>
      <c r="I33">
        <v>0</v>
      </c>
      <c r="J33" t="s">
        <v>7</v>
      </c>
      <c r="K33">
        <v>1.6</v>
      </c>
      <c r="L33">
        <v>0.8</v>
      </c>
      <c r="M33">
        <v>60</v>
      </c>
      <c r="N33" s="2">
        <v>14321</v>
      </c>
      <c r="P33" s="1"/>
    </row>
    <row r="34" spans="1:17" x14ac:dyDescent="0.25">
      <c r="A34" s="1">
        <v>43833</v>
      </c>
      <c r="B34" t="s">
        <v>181</v>
      </c>
      <c r="C34" t="s">
        <v>58</v>
      </c>
      <c r="D34" t="s">
        <v>94</v>
      </c>
      <c r="E34" t="s">
        <v>60</v>
      </c>
      <c r="F34" t="s">
        <v>43</v>
      </c>
      <c r="G34" t="s">
        <v>4</v>
      </c>
      <c r="H34">
        <v>1</v>
      </c>
      <c r="I34">
        <v>1</v>
      </c>
      <c r="J34" t="s">
        <v>73</v>
      </c>
      <c r="K34">
        <v>1.3</v>
      </c>
      <c r="L34">
        <v>0.2</v>
      </c>
      <c r="M34">
        <v>65</v>
      </c>
      <c r="N34" s="2">
        <v>37972</v>
      </c>
      <c r="P34" s="1"/>
      <c r="Q34" s="1"/>
    </row>
    <row r="35" spans="1:17" x14ac:dyDescent="0.25">
      <c r="A35" s="1">
        <v>43842</v>
      </c>
      <c r="B35" t="s">
        <v>168</v>
      </c>
      <c r="C35" t="s">
        <v>76</v>
      </c>
      <c r="D35" t="s">
        <v>126</v>
      </c>
      <c r="E35" t="s">
        <v>62</v>
      </c>
      <c r="F35" t="s">
        <v>44</v>
      </c>
      <c r="G35" t="s">
        <v>18</v>
      </c>
      <c r="H35">
        <v>5</v>
      </c>
      <c r="I35">
        <v>0</v>
      </c>
      <c r="J35" t="s">
        <v>227</v>
      </c>
    </row>
    <row r="36" spans="1:17" x14ac:dyDescent="0.25">
      <c r="A36" s="1">
        <v>43848</v>
      </c>
      <c r="B36" t="s">
        <v>228</v>
      </c>
      <c r="C36" t="s">
        <v>58</v>
      </c>
      <c r="D36" t="s">
        <v>97</v>
      </c>
      <c r="E36" t="s">
        <v>64</v>
      </c>
      <c r="F36" t="s">
        <v>44</v>
      </c>
      <c r="G36" t="s">
        <v>19</v>
      </c>
      <c r="H36">
        <v>1</v>
      </c>
      <c r="I36">
        <v>2</v>
      </c>
      <c r="J36" t="s">
        <v>8</v>
      </c>
      <c r="K36">
        <v>0.4</v>
      </c>
      <c r="L36">
        <v>1.3</v>
      </c>
      <c r="M36">
        <v>48</v>
      </c>
      <c r="N36" s="2">
        <v>72512</v>
      </c>
      <c r="P36" s="1"/>
      <c r="Q36" s="1"/>
    </row>
    <row r="37" spans="1:17" x14ac:dyDescent="0.25">
      <c r="A37" s="1">
        <v>43851</v>
      </c>
      <c r="B37" t="s">
        <v>181</v>
      </c>
      <c r="C37" t="s">
        <v>76</v>
      </c>
      <c r="D37" t="s">
        <v>77</v>
      </c>
      <c r="E37" t="s">
        <v>69</v>
      </c>
      <c r="F37" t="s">
        <v>43</v>
      </c>
      <c r="G37" t="s">
        <v>18</v>
      </c>
      <c r="H37">
        <v>3</v>
      </c>
      <c r="I37">
        <v>1</v>
      </c>
      <c r="J37" t="s">
        <v>67</v>
      </c>
      <c r="M37">
        <v>73</v>
      </c>
      <c r="N37" s="2">
        <v>28104</v>
      </c>
      <c r="P37" s="1"/>
      <c r="Q37" s="1"/>
    </row>
    <row r="38" spans="1:17" x14ac:dyDescent="0.25">
      <c r="A38" s="1">
        <v>43855</v>
      </c>
      <c r="B38" t="s">
        <v>181</v>
      </c>
      <c r="C38" t="s">
        <v>58</v>
      </c>
      <c r="D38" t="s">
        <v>98</v>
      </c>
      <c r="E38" t="s">
        <v>64</v>
      </c>
      <c r="F38" t="s">
        <v>43</v>
      </c>
      <c r="G38" t="s">
        <v>18</v>
      </c>
      <c r="H38">
        <v>2</v>
      </c>
      <c r="I38">
        <v>0</v>
      </c>
      <c r="J38" t="s">
        <v>14</v>
      </c>
      <c r="K38">
        <v>0.8</v>
      </c>
      <c r="L38">
        <v>0.6</v>
      </c>
      <c r="M38">
        <v>59</v>
      </c>
      <c r="N38" s="2">
        <v>33533</v>
      </c>
      <c r="P38" s="1"/>
    </row>
    <row r="39" spans="1:17" x14ac:dyDescent="0.25">
      <c r="A39" t="s">
        <v>0</v>
      </c>
      <c r="B39" t="s">
        <v>1</v>
      </c>
      <c r="C39" t="s">
        <v>16</v>
      </c>
      <c r="D39" t="s">
        <v>51</v>
      </c>
      <c r="E39" t="s">
        <v>52</v>
      </c>
      <c r="F39" t="s">
        <v>53</v>
      </c>
      <c r="G39" t="s">
        <v>54</v>
      </c>
      <c r="H39" t="s">
        <v>20</v>
      </c>
      <c r="I39" t="s">
        <v>21</v>
      </c>
      <c r="J39" t="s">
        <v>45</v>
      </c>
      <c r="K39" t="s">
        <v>55</v>
      </c>
      <c r="L39" t="s">
        <v>56</v>
      </c>
      <c r="M39" t="s">
        <v>57</v>
      </c>
      <c r="N39" t="s">
        <v>24</v>
      </c>
    </row>
    <row r="40" spans="1:17" x14ac:dyDescent="0.25">
      <c r="A40" s="1">
        <v>43860</v>
      </c>
      <c r="B40" t="s">
        <v>181</v>
      </c>
      <c r="C40" t="s">
        <v>76</v>
      </c>
      <c r="D40" t="s">
        <v>91</v>
      </c>
      <c r="E40" t="s">
        <v>85</v>
      </c>
      <c r="F40" t="s">
        <v>44</v>
      </c>
      <c r="G40" t="s">
        <v>19</v>
      </c>
      <c r="H40">
        <v>1</v>
      </c>
      <c r="I40">
        <v>3</v>
      </c>
      <c r="J40" t="s">
        <v>229</v>
      </c>
      <c r="M40">
        <v>67</v>
      </c>
      <c r="N40" s="2">
        <v>4500</v>
      </c>
      <c r="P40" s="1"/>
    </row>
    <row r="41" spans="1:17" x14ac:dyDescent="0.25">
      <c r="A41" s="1">
        <v>43863</v>
      </c>
      <c r="B41" t="s">
        <v>157</v>
      </c>
      <c r="C41" t="s">
        <v>58</v>
      </c>
      <c r="D41" t="s">
        <v>100</v>
      </c>
      <c r="E41" t="s">
        <v>62</v>
      </c>
      <c r="F41" t="s">
        <v>43</v>
      </c>
      <c r="G41" t="s">
        <v>4</v>
      </c>
      <c r="H41">
        <v>1</v>
      </c>
      <c r="I41">
        <v>1</v>
      </c>
      <c r="J41" t="s">
        <v>80</v>
      </c>
      <c r="K41">
        <v>1.7</v>
      </c>
      <c r="L41">
        <v>0.7</v>
      </c>
      <c r="M41">
        <v>73</v>
      </c>
      <c r="N41" s="2">
        <v>36286</v>
      </c>
      <c r="P41" s="1"/>
      <c r="Q41" s="1"/>
    </row>
    <row r="42" spans="1:17" x14ac:dyDescent="0.25">
      <c r="A42" s="1">
        <v>43870</v>
      </c>
      <c r="B42" t="s">
        <v>157</v>
      </c>
      <c r="C42" t="s">
        <v>58</v>
      </c>
      <c r="D42" t="s">
        <v>101</v>
      </c>
      <c r="E42" t="s">
        <v>62</v>
      </c>
      <c r="F42" t="s">
        <v>44</v>
      </c>
      <c r="G42" t="s">
        <v>19</v>
      </c>
      <c r="H42">
        <v>1</v>
      </c>
      <c r="I42">
        <v>2</v>
      </c>
      <c r="J42" t="s">
        <v>50</v>
      </c>
      <c r="K42">
        <v>1.2</v>
      </c>
      <c r="L42">
        <v>1.6</v>
      </c>
      <c r="M42">
        <v>55</v>
      </c>
      <c r="N42" s="2">
        <v>20375</v>
      </c>
      <c r="P42" s="1"/>
      <c r="Q42" s="1"/>
    </row>
    <row r="43" spans="1:17" x14ac:dyDescent="0.25">
      <c r="A43" s="1">
        <v>43877</v>
      </c>
      <c r="B43" t="s">
        <v>168</v>
      </c>
      <c r="C43" t="s">
        <v>58</v>
      </c>
      <c r="D43" t="s">
        <v>102</v>
      </c>
      <c r="E43" t="s">
        <v>62</v>
      </c>
      <c r="F43" t="s">
        <v>43</v>
      </c>
      <c r="G43" t="s">
        <v>4</v>
      </c>
      <c r="H43">
        <v>2</v>
      </c>
      <c r="I43">
        <v>2</v>
      </c>
      <c r="J43" t="s">
        <v>48</v>
      </c>
      <c r="K43">
        <v>1.8</v>
      </c>
      <c r="L43">
        <v>0.5</v>
      </c>
      <c r="M43">
        <v>66</v>
      </c>
      <c r="N43" s="2">
        <v>35661</v>
      </c>
      <c r="P43" s="1"/>
    </row>
    <row r="44" spans="1:17" x14ac:dyDescent="0.25">
      <c r="A44" s="1">
        <v>43881</v>
      </c>
      <c r="B44" t="s">
        <v>225</v>
      </c>
      <c r="C44" t="s">
        <v>193</v>
      </c>
      <c r="D44" t="s">
        <v>77</v>
      </c>
      <c r="E44" t="s">
        <v>85</v>
      </c>
      <c r="F44" t="s">
        <v>44</v>
      </c>
      <c r="G44" t="s">
        <v>4</v>
      </c>
      <c r="H44">
        <v>1</v>
      </c>
      <c r="I44">
        <v>1</v>
      </c>
      <c r="J44" t="s">
        <v>230</v>
      </c>
      <c r="K44">
        <v>1.3</v>
      </c>
      <c r="L44">
        <v>1.2</v>
      </c>
      <c r="M44">
        <v>68</v>
      </c>
      <c r="N44" s="2">
        <v>14820</v>
      </c>
      <c r="P44" s="1"/>
      <c r="Q44" s="1"/>
    </row>
    <row r="45" spans="1:17" x14ac:dyDescent="0.25">
      <c r="A45" s="1">
        <v>43884</v>
      </c>
      <c r="B45" t="s">
        <v>157</v>
      </c>
      <c r="C45" t="s">
        <v>58</v>
      </c>
      <c r="D45" t="s">
        <v>103</v>
      </c>
      <c r="E45" t="s">
        <v>62</v>
      </c>
      <c r="F45" t="s">
        <v>44</v>
      </c>
      <c r="G45" t="s">
        <v>18</v>
      </c>
      <c r="H45">
        <v>3</v>
      </c>
      <c r="I45">
        <v>0</v>
      </c>
      <c r="J45" t="s">
        <v>12</v>
      </c>
      <c r="K45">
        <v>2.5</v>
      </c>
      <c r="L45">
        <v>0.5</v>
      </c>
      <c r="M45">
        <v>50</v>
      </c>
      <c r="N45" s="2">
        <v>13438</v>
      </c>
      <c r="P45" s="1"/>
      <c r="Q45" s="1"/>
    </row>
    <row r="46" spans="1:17" x14ac:dyDescent="0.25">
      <c r="A46" s="1">
        <v>43888</v>
      </c>
      <c r="B46" t="s">
        <v>181</v>
      </c>
      <c r="C46" t="s">
        <v>193</v>
      </c>
      <c r="D46" t="s">
        <v>77</v>
      </c>
      <c r="E46" t="s">
        <v>85</v>
      </c>
      <c r="F46" t="s">
        <v>43</v>
      </c>
      <c r="G46" t="s">
        <v>4</v>
      </c>
      <c r="H46">
        <v>0</v>
      </c>
      <c r="I46">
        <v>0</v>
      </c>
      <c r="J46" t="s">
        <v>230</v>
      </c>
      <c r="K46">
        <v>1.6</v>
      </c>
      <c r="L46">
        <v>0.8</v>
      </c>
      <c r="M46">
        <v>71</v>
      </c>
      <c r="N46" s="2">
        <v>31338</v>
      </c>
      <c r="P46" s="1"/>
    </row>
    <row r="47" spans="1:17" x14ac:dyDescent="0.25">
      <c r="A47" s="1">
        <v>43891</v>
      </c>
      <c r="B47" t="s">
        <v>168</v>
      </c>
      <c r="C47" t="s">
        <v>58</v>
      </c>
      <c r="D47" t="s">
        <v>104</v>
      </c>
      <c r="E47" t="s">
        <v>62</v>
      </c>
      <c r="F47" t="s">
        <v>43</v>
      </c>
      <c r="G47" t="s">
        <v>18</v>
      </c>
      <c r="H47">
        <v>3</v>
      </c>
      <c r="I47">
        <v>2</v>
      </c>
      <c r="J47" t="s">
        <v>9</v>
      </c>
      <c r="K47">
        <v>2.4</v>
      </c>
      <c r="L47">
        <v>1.7</v>
      </c>
      <c r="M47">
        <v>63</v>
      </c>
      <c r="N47" s="2">
        <v>31382</v>
      </c>
      <c r="P47" s="1"/>
      <c r="Q47" s="1"/>
    </row>
    <row r="48" spans="1:17" x14ac:dyDescent="0.25">
      <c r="A48" s="1">
        <v>43897</v>
      </c>
      <c r="B48" t="s">
        <v>228</v>
      </c>
      <c r="C48" t="s">
        <v>58</v>
      </c>
      <c r="D48" t="s">
        <v>105</v>
      </c>
      <c r="E48" t="s">
        <v>64</v>
      </c>
      <c r="F48" t="s">
        <v>44</v>
      </c>
      <c r="G48" t="s">
        <v>4</v>
      </c>
      <c r="H48">
        <v>2</v>
      </c>
      <c r="I48">
        <v>2</v>
      </c>
      <c r="J48" t="s">
        <v>65</v>
      </c>
      <c r="K48">
        <v>1.7</v>
      </c>
      <c r="L48">
        <v>2</v>
      </c>
      <c r="M48">
        <v>55</v>
      </c>
      <c r="N48" s="2">
        <v>60422</v>
      </c>
      <c r="Q48" s="1"/>
    </row>
    <row r="49" spans="1:17" x14ac:dyDescent="0.25">
      <c r="A49" s="1">
        <v>43909</v>
      </c>
      <c r="B49" t="s">
        <v>198</v>
      </c>
      <c r="C49" t="s">
        <v>193</v>
      </c>
      <c r="D49" t="s">
        <v>91</v>
      </c>
      <c r="E49" t="s">
        <v>85</v>
      </c>
      <c r="F49" t="s">
        <v>44</v>
      </c>
      <c r="J49" t="s">
        <v>231</v>
      </c>
    </row>
    <row r="50" spans="1:17" x14ac:dyDescent="0.25">
      <c r="A50" s="1">
        <v>43993</v>
      </c>
      <c r="B50" t="s">
        <v>176</v>
      </c>
      <c r="C50" t="s">
        <v>58</v>
      </c>
      <c r="D50" t="s">
        <v>106</v>
      </c>
      <c r="E50" t="s">
        <v>85</v>
      </c>
      <c r="F50" t="s">
        <v>43</v>
      </c>
      <c r="G50" t="s">
        <v>18</v>
      </c>
      <c r="H50">
        <v>2</v>
      </c>
      <c r="I50">
        <v>0</v>
      </c>
      <c r="J50" t="s">
        <v>11</v>
      </c>
      <c r="K50">
        <v>1.7</v>
      </c>
      <c r="L50">
        <v>0.5</v>
      </c>
      <c r="M50">
        <v>46</v>
      </c>
      <c r="P50" s="1"/>
      <c r="Q50" s="1"/>
    </row>
    <row r="51" spans="1:17" x14ac:dyDescent="0.25">
      <c r="A51" s="1">
        <v>43997</v>
      </c>
      <c r="B51" t="s">
        <v>166</v>
      </c>
      <c r="C51" t="s">
        <v>58</v>
      </c>
      <c r="D51" t="s">
        <v>107</v>
      </c>
      <c r="E51" t="s">
        <v>117</v>
      </c>
      <c r="F51" t="s">
        <v>44</v>
      </c>
      <c r="G51" t="s">
        <v>4</v>
      </c>
      <c r="H51">
        <v>1</v>
      </c>
      <c r="I51">
        <v>1</v>
      </c>
      <c r="J51" t="s">
        <v>67</v>
      </c>
      <c r="K51">
        <v>0.9</v>
      </c>
      <c r="L51">
        <v>0.9</v>
      </c>
      <c r="M51">
        <v>58</v>
      </c>
      <c r="P51" s="1"/>
      <c r="Q51" s="1"/>
    </row>
    <row r="52" spans="1:17" x14ac:dyDescent="0.25">
      <c r="A52" s="1">
        <v>44001</v>
      </c>
      <c r="B52" t="s">
        <v>176</v>
      </c>
      <c r="C52" t="s">
        <v>58</v>
      </c>
      <c r="D52" t="s">
        <v>108</v>
      </c>
      <c r="E52" t="s">
        <v>60</v>
      </c>
      <c r="F52" t="s">
        <v>43</v>
      </c>
      <c r="G52" t="s">
        <v>4</v>
      </c>
      <c r="H52">
        <v>0</v>
      </c>
      <c r="I52">
        <v>0</v>
      </c>
      <c r="J52" t="s">
        <v>13</v>
      </c>
      <c r="K52">
        <v>0.8</v>
      </c>
      <c r="L52">
        <v>0.8</v>
      </c>
      <c r="M52">
        <v>36</v>
      </c>
      <c r="P52" s="1"/>
      <c r="Q52" s="1"/>
    </row>
    <row r="53" spans="1:17" x14ac:dyDescent="0.25">
      <c r="A53" s="1">
        <v>44004</v>
      </c>
      <c r="B53" t="s">
        <v>166</v>
      </c>
      <c r="C53" t="s">
        <v>58</v>
      </c>
      <c r="D53" t="s">
        <v>109</v>
      </c>
      <c r="E53" t="s">
        <v>117</v>
      </c>
      <c r="F53" t="s">
        <v>44</v>
      </c>
      <c r="G53" t="s">
        <v>4</v>
      </c>
      <c r="H53">
        <v>2</v>
      </c>
      <c r="I53">
        <v>2</v>
      </c>
      <c r="J53" t="s">
        <v>10</v>
      </c>
      <c r="K53">
        <v>0.9</v>
      </c>
      <c r="L53">
        <v>0.9</v>
      </c>
      <c r="M53">
        <v>58</v>
      </c>
      <c r="P53" s="1"/>
      <c r="Q53" s="1"/>
    </row>
    <row r="54" spans="1:17" x14ac:dyDescent="0.25">
      <c r="A54" s="1">
        <v>44008</v>
      </c>
      <c r="B54" t="s">
        <v>176</v>
      </c>
      <c r="C54" t="s">
        <v>58</v>
      </c>
      <c r="D54" t="s">
        <v>110</v>
      </c>
      <c r="E54" t="s">
        <v>60</v>
      </c>
      <c r="F54" t="s">
        <v>43</v>
      </c>
      <c r="G54" t="s">
        <v>4</v>
      </c>
      <c r="H54">
        <v>1</v>
      </c>
      <c r="I54">
        <v>1</v>
      </c>
      <c r="J54" t="s">
        <v>47</v>
      </c>
      <c r="K54">
        <v>1.7</v>
      </c>
      <c r="L54">
        <v>0.6</v>
      </c>
      <c r="M54">
        <v>74</v>
      </c>
      <c r="P54" s="1"/>
      <c r="Q54" s="1"/>
    </row>
    <row r="55" spans="1:17" x14ac:dyDescent="0.25">
      <c r="A55" s="1">
        <v>44012</v>
      </c>
      <c r="B55" t="s">
        <v>181</v>
      </c>
      <c r="C55" t="s">
        <v>58</v>
      </c>
      <c r="D55" t="s">
        <v>111</v>
      </c>
      <c r="E55" t="s">
        <v>69</v>
      </c>
      <c r="F55" t="s">
        <v>44</v>
      </c>
      <c r="G55" t="s">
        <v>18</v>
      </c>
      <c r="H55">
        <v>3</v>
      </c>
      <c r="I55">
        <v>0</v>
      </c>
      <c r="J55" t="s">
        <v>82</v>
      </c>
      <c r="K55">
        <v>0.6</v>
      </c>
      <c r="L55">
        <v>0.8</v>
      </c>
      <c r="M55">
        <v>58</v>
      </c>
      <c r="P55" s="1"/>
      <c r="Q55" s="1"/>
    </row>
    <row r="56" spans="1:17" x14ac:dyDescent="0.25">
      <c r="A56" s="1">
        <v>44018</v>
      </c>
      <c r="B56" t="s">
        <v>176</v>
      </c>
      <c r="C56" t="s">
        <v>58</v>
      </c>
      <c r="D56" t="s">
        <v>112</v>
      </c>
      <c r="E56" t="s">
        <v>117</v>
      </c>
      <c r="F56" t="s">
        <v>43</v>
      </c>
      <c r="G56" t="s">
        <v>18</v>
      </c>
      <c r="H56">
        <v>1</v>
      </c>
      <c r="I56">
        <v>0</v>
      </c>
      <c r="J56" t="s">
        <v>89</v>
      </c>
      <c r="K56">
        <v>1.3</v>
      </c>
      <c r="L56">
        <v>1.5</v>
      </c>
      <c r="M56">
        <v>62</v>
      </c>
      <c r="P56" s="1"/>
    </row>
    <row r="57" spans="1:17" x14ac:dyDescent="0.25">
      <c r="A57" s="1">
        <v>44021</v>
      </c>
      <c r="B57" t="s">
        <v>176</v>
      </c>
      <c r="C57" t="s">
        <v>58</v>
      </c>
      <c r="D57" t="s">
        <v>113</v>
      </c>
      <c r="E57" t="s">
        <v>85</v>
      </c>
      <c r="F57" t="s">
        <v>44</v>
      </c>
      <c r="G57" t="s">
        <v>18</v>
      </c>
      <c r="H57">
        <v>2</v>
      </c>
      <c r="I57">
        <v>1</v>
      </c>
      <c r="J57" t="s">
        <v>73</v>
      </c>
      <c r="K57">
        <v>1.7</v>
      </c>
      <c r="L57">
        <v>0.9</v>
      </c>
      <c r="M57">
        <v>66</v>
      </c>
      <c r="P57" s="1"/>
    </row>
    <row r="58" spans="1:17" x14ac:dyDescent="0.25">
      <c r="A58" s="1">
        <v>44024</v>
      </c>
      <c r="B58" t="s">
        <v>176</v>
      </c>
      <c r="C58" t="s">
        <v>58</v>
      </c>
      <c r="D58" t="s">
        <v>114</v>
      </c>
      <c r="E58" t="s">
        <v>62</v>
      </c>
      <c r="F58" t="s">
        <v>43</v>
      </c>
      <c r="G58" t="s">
        <v>18</v>
      </c>
      <c r="H58">
        <v>2</v>
      </c>
      <c r="I58">
        <v>0</v>
      </c>
      <c r="J58" t="s">
        <v>7</v>
      </c>
      <c r="K58">
        <v>1.7</v>
      </c>
      <c r="L58">
        <v>0.4</v>
      </c>
      <c r="M58">
        <v>63</v>
      </c>
      <c r="P58" s="1"/>
      <c r="Q58" s="1"/>
    </row>
    <row r="59" spans="1:17" x14ac:dyDescent="0.25">
      <c r="A59" s="1">
        <v>44028</v>
      </c>
      <c r="B59" t="s">
        <v>181</v>
      </c>
      <c r="C59" t="s">
        <v>58</v>
      </c>
      <c r="D59" t="s">
        <v>115</v>
      </c>
      <c r="E59" t="s">
        <v>85</v>
      </c>
      <c r="F59" t="s">
        <v>44</v>
      </c>
      <c r="G59" t="s">
        <v>4</v>
      </c>
      <c r="H59">
        <v>0</v>
      </c>
      <c r="I59">
        <v>0</v>
      </c>
      <c r="J59" t="s">
        <v>49</v>
      </c>
      <c r="K59">
        <v>0.7</v>
      </c>
      <c r="L59">
        <v>0.8</v>
      </c>
      <c r="M59">
        <v>62</v>
      </c>
      <c r="Q59" s="1"/>
    </row>
    <row r="60" spans="1:17" x14ac:dyDescent="0.25">
      <c r="A60" s="1">
        <v>44031</v>
      </c>
      <c r="B60" t="s">
        <v>181</v>
      </c>
      <c r="C60" t="s">
        <v>58</v>
      </c>
      <c r="D60" t="s">
        <v>116</v>
      </c>
      <c r="E60" t="s">
        <v>62</v>
      </c>
      <c r="F60" t="s">
        <v>43</v>
      </c>
      <c r="G60" t="s">
        <v>18</v>
      </c>
      <c r="H60">
        <v>1</v>
      </c>
      <c r="I60">
        <v>0</v>
      </c>
      <c r="J60" t="s">
        <v>3</v>
      </c>
      <c r="K60">
        <v>0.8</v>
      </c>
      <c r="L60">
        <v>0.3</v>
      </c>
      <c r="M60">
        <v>62</v>
      </c>
      <c r="P60" s="1"/>
      <c r="Q60" s="1"/>
    </row>
    <row r="61" spans="1:17" x14ac:dyDescent="0.25">
      <c r="A61" s="1">
        <v>44049</v>
      </c>
      <c r="B61" t="s">
        <v>201</v>
      </c>
      <c r="C61" t="s">
        <v>193</v>
      </c>
      <c r="D61" t="s">
        <v>91</v>
      </c>
      <c r="E61" t="s">
        <v>85</v>
      </c>
      <c r="F61" t="s">
        <v>186</v>
      </c>
      <c r="G61" t="s">
        <v>18</v>
      </c>
      <c r="H61">
        <v>2</v>
      </c>
      <c r="I61">
        <v>0</v>
      </c>
      <c r="J61" t="s">
        <v>231</v>
      </c>
      <c r="K61">
        <v>2.4</v>
      </c>
      <c r="L61">
        <v>0.5</v>
      </c>
      <c r="M61">
        <v>56</v>
      </c>
      <c r="P61" s="1"/>
      <c r="Q61" s="1"/>
    </row>
    <row r="62" spans="1:17" x14ac:dyDescent="0.25">
      <c r="A62" s="1">
        <v>44054</v>
      </c>
      <c r="B62" t="s">
        <v>181</v>
      </c>
      <c r="C62" t="s">
        <v>193</v>
      </c>
      <c r="D62" t="s">
        <v>96</v>
      </c>
      <c r="E62" t="s">
        <v>69</v>
      </c>
      <c r="F62" t="s">
        <v>186</v>
      </c>
      <c r="G62" t="s">
        <v>18</v>
      </c>
      <c r="H62">
        <v>1</v>
      </c>
      <c r="I62">
        <v>0</v>
      </c>
      <c r="J62" t="s">
        <v>232</v>
      </c>
      <c r="K62">
        <v>1.5</v>
      </c>
      <c r="L62">
        <v>1</v>
      </c>
      <c r="M62">
        <v>75</v>
      </c>
      <c r="P62" s="1"/>
      <c r="Q62" s="1"/>
    </row>
    <row r="63" spans="1:17" x14ac:dyDescent="0.25">
      <c r="A63" s="1">
        <v>44059</v>
      </c>
      <c r="B63" t="s">
        <v>181</v>
      </c>
      <c r="C63" t="s">
        <v>193</v>
      </c>
      <c r="D63" t="s">
        <v>99</v>
      </c>
      <c r="E63" t="s">
        <v>62</v>
      </c>
      <c r="F63" t="s">
        <v>186</v>
      </c>
      <c r="G63" t="s">
        <v>18</v>
      </c>
      <c r="H63">
        <v>2</v>
      </c>
      <c r="I63">
        <v>1</v>
      </c>
      <c r="J63" t="s">
        <v>183</v>
      </c>
      <c r="K63">
        <v>1.2</v>
      </c>
      <c r="L63">
        <v>2.4</v>
      </c>
      <c r="M63">
        <v>53</v>
      </c>
      <c r="P63" s="1"/>
    </row>
    <row r="64" spans="1:17" x14ac:dyDescent="0.25">
      <c r="A64" s="1">
        <v>44064</v>
      </c>
      <c r="B64" t="s">
        <v>181</v>
      </c>
      <c r="C64" t="s">
        <v>193</v>
      </c>
      <c r="D64" t="s">
        <v>121</v>
      </c>
      <c r="E64" t="s">
        <v>60</v>
      </c>
      <c r="F64" t="s">
        <v>186</v>
      </c>
      <c r="G64" t="s">
        <v>18</v>
      </c>
      <c r="H64">
        <v>3</v>
      </c>
      <c r="I64">
        <v>2</v>
      </c>
      <c r="J64" t="s">
        <v>233</v>
      </c>
      <c r="K64">
        <v>0.9</v>
      </c>
      <c r="L64">
        <v>1.5</v>
      </c>
      <c r="M64">
        <v>48</v>
      </c>
      <c r="P64" s="1"/>
      <c r="Q64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DE32-3C59-42DA-AA6F-038C7F7E1BDE}">
  <dimension ref="A1:Q62"/>
  <sheetViews>
    <sheetView workbookViewId="0">
      <selection activeCell="O1" sqref="O1:V1048576"/>
    </sheetView>
  </sheetViews>
  <sheetFormatPr defaultRowHeight="15" x14ac:dyDescent="0.25"/>
  <cols>
    <col min="1" max="1" width="11.28515625" customWidth="1"/>
  </cols>
  <sheetData>
    <row r="1" spans="1:17" x14ac:dyDescent="0.25">
      <c r="A1" t="s">
        <v>234</v>
      </c>
    </row>
    <row r="2" spans="1:17" x14ac:dyDescent="0.25">
      <c r="A2" t="s">
        <v>235</v>
      </c>
    </row>
    <row r="3" spans="1:17" x14ac:dyDescent="0.25">
      <c r="A3" t="s">
        <v>236</v>
      </c>
    </row>
    <row r="4" spans="1:17" x14ac:dyDescent="0.25">
      <c r="A4" t="s">
        <v>237</v>
      </c>
    </row>
    <row r="7" spans="1:17" x14ac:dyDescent="0.25">
      <c r="A7" t="s">
        <v>0</v>
      </c>
      <c r="B7" t="s">
        <v>1</v>
      </c>
      <c r="C7" t="s">
        <v>16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 t="s">
        <v>45</v>
      </c>
      <c r="K7" t="s">
        <v>55</v>
      </c>
      <c r="L7" t="s">
        <v>56</v>
      </c>
      <c r="M7" t="s">
        <v>57</v>
      </c>
      <c r="N7" t="s">
        <v>24</v>
      </c>
    </row>
    <row r="8" spans="1:17" x14ac:dyDescent="0.25">
      <c r="A8" s="1">
        <v>44098</v>
      </c>
      <c r="B8" t="s">
        <v>181</v>
      </c>
      <c r="C8" t="s">
        <v>238</v>
      </c>
      <c r="D8" t="s">
        <v>239</v>
      </c>
      <c r="E8" t="s">
        <v>85</v>
      </c>
      <c r="F8" t="s">
        <v>186</v>
      </c>
      <c r="G8" t="s">
        <v>19</v>
      </c>
      <c r="H8">
        <v>1</v>
      </c>
      <c r="I8">
        <v>2</v>
      </c>
      <c r="J8" t="s">
        <v>185</v>
      </c>
      <c r="M8">
        <v>36</v>
      </c>
      <c r="N8" s="2">
        <v>15180</v>
      </c>
      <c r="P8" s="1"/>
    </row>
    <row r="9" spans="1:17" x14ac:dyDescent="0.25">
      <c r="A9" s="1">
        <v>44101</v>
      </c>
      <c r="B9" t="s">
        <v>157</v>
      </c>
      <c r="C9" t="s">
        <v>58</v>
      </c>
      <c r="D9" t="s">
        <v>63</v>
      </c>
      <c r="E9" t="s">
        <v>62</v>
      </c>
      <c r="F9" t="s">
        <v>44</v>
      </c>
      <c r="G9" t="s">
        <v>18</v>
      </c>
      <c r="H9">
        <v>3</v>
      </c>
      <c r="I9">
        <v>1</v>
      </c>
      <c r="J9" t="s">
        <v>125</v>
      </c>
      <c r="K9">
        <v>2.4</v>
      </c>
      <c r="L9">
        <v>1.1000000000000001</v>
      </c>
      <c r="M9">
        <v>75</v>
      </c>
      <c r="P9" s="1"/>
    </row>
    <row r="10" spans="1:17" x14ac:dyDescent="0.25">
      <c r="A10" s="1">
        <v>44105</v>
      </c>
      <c r="B10" t="s">
        <v>162</v>
      </c>
      <c r="C10" t="s">
        <v>58</v>
      </c>
      <c r="D10" t="s">
        <v>66</v>
      </c>
      <c r="E10" t="s">
        <v>85</v>
      </c>
      <c r="F10" t="s">
        <v>43</v>
      </c>
      <c r="G10" t="s">
        <v>18</v>
      </c>
      <c r="H10">
        <v>1</v>
      </c>
      <c r="I10">
        <v>0</v>
      </c>
      <c r="J10" t="s">
        <v>67</v>
      </c>
      <c r="K10">
        <v>1.1000000000000001</v>
      </c>
      <c r="L10">
        <v>0.2</v>
      </c>
      <c r="M10">
        <v>64</v>
      </c>
      <c r="P10" s="1"/>
      <c r="Q10" s="1"/>
    </row>
    <row r="11" spans="1:17" x14ac:dyDescent="0.25">
      <c r="A11" s="1">
        <v>44108</v>
      </c>
      <c r="B11" t="s">
        <v>181</v>
      </c>
      <c r="C11" t="s">
        <v>58</v>
      </c>
      <c r="D11" t="s">
        <v>68</v>
      </c>
      <c r="E11" t="s">
        <v>62</v>
      </c>
      <c r="F11" t="s">
        <v>44</v>
      </c>
      <c r="G11" t="s">
        <v>4</v>
      </c>
      <c r="H11">
        <v>1</v>
      </c>
      <c r="I11">
        <v>1</v>
      </c>
      <c r="J11" t="s">
        <v>13</v>
      </c>
      <c r="K11">
        <v>1.5</v>
      </c>
      <c r="L11">
        <v>1</v>
      </c>
      <c r="M11">
        <v>45</v>
      </c>
      <c r="P11" s="1"/>
    </row>
    <row r="12" spans="1:17" x14ac:dyDescent="0.25">
      <c r="A12" s="1">
        <v>44121</v>
      </c>
      <c r="B12" t="s">
        <v>154</v>
      </c>
      <c r="C12" t="s">
        <v>58</v>
      </c>
      <c r="D12" t="s">
        <v>71</v>
      </c>
      <c r="E12" t="s">
        <v>64</v>
      </c>
      <c r="F12" t="s">
        <v>44</v>
      </c>
      <c r="G12" t="s">
        <v>19</v>
      </c>
      <c r="H12">
        <v>0</v>
      </c>
      <c r="I12">
        <v>1</v>
      </c>
      <c r="J12" t="s">
        <v>14</v>
      </c>
      <c r="K12">
        <v>0.6</v>
      </c>
      <c r="L12">
        <v>1.3</v>
      </c>
      <c r="M12">
        <v>48</v>
      </c>
      <c r="P12" s="1"/>
    </row>
    <row r="13" spans="1:17" x14ac:dyDescent="0.25">
      <c r="A13" s="1">
        <v>44124</v>
      </c>
      <c r="B13" t="s">
        <v>161</v>
      </c>
      <c r="C13" t="s">
        <v>118</v>
      </c>
      <c r="D13" t="s">
        <v>119</v>
      </c>
      <c r="E13" t="s">
        <v>69</v>
      </c>
      <c r="F13" t="s">
        <v>44</v>
      </c>
      <c r="G13" t="s">
        <v>4</v>
      </c>
      <c r="H13">
        <v>0</v>
      </c>
      <c r="I13">
        <v>0</v>
      </c>
      <c r="J13" t="s">
        <v>240</v>
      </c>
      <c r="K13">
        <v>0.2</v>
      </c>
      <c r="L13">
        <v>0.4</v>
      </c>
      <c r="M13">
        <v>56</v>
      </c>
      <c r="P13" s="1"/>
    </row>
    <row r="14" spans="1:17" x14ac:dyDescent="0.25">
      <c r="A14" s="1">
        <v>44128</v>
      </c>
      <c r="B14" t="s">
        <v>157</v>
      </c>
      <c r="C14" t="s">
        <v>58</v>
      </c>
      <c r="D14" t="s">
        <v>72</v>
      </c>
      <c r="E14" t="s">
        <v>64</v>
      </c>
      <c r="F14" t="s">
        <v>43</v>
      </c>
      <c r="G14" t="s">
        <v>19</v>
      </c>
      <c r="H14">
        <v>0</v>
      </c>
      <c r="I14">
        <v>1</v>
      </c>
      <c r="J14" t="s">
        <v>89</v>
      </c>
      <c r="K14">
        <v>1.7</v>
      </c>
      <c r="L14">
        <v>0.2</v>
      </c>
      <c r="M14">
        <v>72</v>
      </c>
      <c r="P14" s="1"/>
      <c r="Q14" s="1"/>
    </row>
    <row r="15" spans="1:17" x14ac:dyDescent="0.25">
      <c r="A15" s="1">
        <v>44132</v>
      </c>
      <c r="B15" t="s">
        <v>198</v>
      </c>
      <c r="C15" t="s">
        <v>118</v>
      </c>
      <c r="D15" t="s">
        <v>119</v>
      </c>
      <c r="E15" t="s">
        <v>92</v>
      </c>
      <c r="F15" t="s">
        <v>43</v>
      </c>
      <c r="G15" t="s">
        <v>18</v>
      </c>
      <c r="H15">
        <v>1</v>
      </c>
      <c r="I15">
        <v>0</v>
      </c>
      <c r="J15" t="s">
        <v>241</v>
      </c>
      <c r="K15">
        <v>2.6</v>
      </c>
      <c r="L15">
        <v>0.1</v>
      </c>
      <c r="M15">
        <v>66</v>
      </c>
      <c r="P15" s="1"/>
      <c r="Q15" s="1"/>
    </row>
    <row r="16" spans="1:17" x14ac:dyDescent="0.25">
      <c r="A16" s="1">
        <v>44135</v>
      </c>
      <c r="B16" t="s">
        <v>167</v>
      </c>
      <c r="C16" t="s">
        <v>58</v>
      </c>
      <c r="D16" t="s">
        <v>74</v>
      </c>
      <c r="E16" t="s">
        <v>64</v>
      </c>
      <c r="F16" t="s">
        <v>44</v>
      </c>
      <c r="G16" t="s">
        <v>19</v>
      </c>
      <c r="H16">
        <v>1</v>
      </c>
      <c r="I16">
        <v>2</v>
      </c>
      <c r="J16" t="s">
        <v>73</v>
      </c>
      <c r="K16">
        <v>1.1000000000000001</v>
      </c>
      <c r="L16">
        <v>1.2</v>
      </c>
      <c r="M16">
        <v>53</v>
      </c>
      <c r="P16" s="1"/>
    </row>
    <row r="17" spans="1:17" x14ac:dyDescent="0.25">
      <c r="A17" s="1">
        <v>44139</v>
      </c>
      <c r="B17" t="s">
        <v>181</v>
      </c>
      <c r="C17" t="s">
        <v>118</v>
      </c>
      <c r="D17" t="s">
        <v>119</v>
      </c>
      <c r="E17" t="s">
        <v>92</v>
      </c>
      <c r="F17" t="s">
        <v>43</v>
      </c>
      <c r="G17" t="s">
        <v>18</v>
      </c>
      <c r="H17">
        <v>3</v>
      </c>
      <c r="I17">
        <v>2</v>
      </c>
      <c r="J17" t="s">
        <v>204</v>
      </c>
      <c r="K17">
        <v>2</v>
      </c>
      <c r="L17">
        <v>1.4</v>
      </c>
      <c r="M17">
        <v>63</v>
      </c>
      <c r="P17" s="1"/>
    </row>
    <row r="18" spans="1:17" x14ac:dyDescent="0.25">
      <c r="A18" s="1">
        <v>44142</v>
      </c>
      <c r="B18" t="s">
        <v>157</v>
      </c>
      <c r="C18" t="s">
        <v>58</v>
      </c>
      <c r="D18" t="s">
        <v>75</v>
      </c>
      <c r="E18" t="s">
        <v>64</v>
      </c>
      <c r="F18" t="s">
        <v>43</v>
      </c>
      <c r="G18" t="s">
        <v>18</v>
      </c>
      <c r="H18">
        <v>1</v>
      </c>
      <c r="I18">
        <v>0</v>
      </c>
      <c r="J18" t="s">
        <v>9</v>
      </c>
      <c r="K18">
        <v>1.1000000000000001</v>
      </c>
      <c r="L18">
        <v>0.7</v>
      </c>
      <c r="M18">
        <v>66</v>
      </c>
      <c r="P18" s="1"/>
      <c r="Q18" s="1"/>
    </row>
    <row r="19" spans="1:17" x14ac:dyDescent="0.25">
      <c r="A19" s="1">
        <v>44156</v>
      </c>
      <c r="B19" t="s">
        <v>157</v>
      </c>
      <c r="C19" t="s">
        <v>58</v>
      </c>
      <c r="D19" t="s">
        <v>79</v>
      </c>
      <c r="E19" t="s">
        <v>64</v>
      </c>
      <c r="F19" t="s">
        <v>43</v>
      </c>
      <c r="G19" t="s">
        <v>18</v>
      </c>
      <c r="H19">
        <v>4</v>
      </c>
      <c r="I19">
        <v>2</v>
      </c>
      <c r="J19" t="s">
        <v>50</v>
      </c>
      <c r="K19">
        <v>2.6</v>
      </c>
      <c r="L19">
        <v>2.1</v>
      </c>
      <c r="M19">
        <v>57</v>
      </c>
      <c r="P19" s="1"/>
    </row>
    <row r="20" spans="1:17" x14ac:dyDescent="0.25">
      <c r="A20" s="1">
        <v>44159</v>
      </c>
      <c r="B20" t="s">
        <v>207</v>
      </c>
      <c r="C20" t="s">
        <v>118</v>
      </c>
      <c r="D20" t="s">
        <v>119</v>
      </c>
      <c r="E20" t="s">
        <v>69</v>
      </c>
      <c r="F20" t="s">
        <v>44</v>
      </c>
      <c r="G20" t="s">
        <v>18</v>
      </c>
      <c r="H20">
        <v>2</v>
      </c>
      <c r="I20">
        <v>1</v>
      </c>
      <c r="J20" t="s">
        <v>204</v>
      </c>
      <c r="K20">
        <v>1.6</v>
      </c>
      <c r="L20">
        <v>1.1000000000000001</v>
      </c>
      <c r="M20">
        <v>59</v>
      </c>
      <c r="N20" s="2">
        <v>10554</v>
      </c>
      <c r="P20" s="1"/>
      <c r="Q20" s="1"/>
    </row>
    <row r="21" spans="1:17" x14ac:dyDescent="0.25">
      <c r="A21" s="1">
        <v>44163</v>
      </c>
      <c r="B21" t="s">
        <v>157</v>
      </c>
      <c r="C21" t="s">
        <v>58</v>
      </c>
      <c r="D21" t="s">
        <v>81</v>
      </c>
      <c r="E21" t="s">
        <v>64</v>
      </c>
      <c r="F21" t="s">
        <v>44</v>
      </c>
      <c r="G21" t="s">
        <v>18</v>
      </c>
      <c r="H21">
        <v>1</v>
      </c>
      <c r="I21">
        <v>0</v>
      </c>
      <c r="J21" t="s">
        <v>120</v>
      </c>
      <c r="K21">
        <v>1.8</v>
      </c>
      <c r="L21">
        <v>0.2</v>
      </c>
      <c r="M21">
        <v>67</v>
      </c>
      <c r="P21" s="1"/>
      <c r="Q21" s="1"/>
    </row>
    <row r="22" spans="1:17" x14ac:dyDescent="0.25">
      <c r="A22" s="1">
        <v>44167</v>
      </c>
      <c r="B22" t="s">
        <v>181</v>
      </c>
      <c r="C22" t="s">
        <v>118</v>
      </c>
      <c r="D22" t="s">
        <v>119</v>
      </c>
      <c r="E22" t="s">
        <v>92</v>
      </c>
      <c r="F22" t="s">
        <v>43</v>
      </c>
      <c r="G22" t="s">
        <v>19</v>
      </c>
      <c r="H22">
        <v>0</v>
      </c>
      <c r="I22">
        <v>4</v>
      </c>
      <c r="J22" t="s">
        <v>240</v>
      </c>
      <c r="K22">
        <v>1.3</v>
      </c>
      <c r="L22">
        <v>2.4</v>
      </c>
      <c r="M22">
        <v>55</v>
      </c>
      <c r="Q22" s="1"/>
    </row>
    <row r="23" spans="1:17" x14ac:dyDescent="0.25">
      <c r="A23" s="1">
        <v>44170</v>
      </c>
      <c r="B23" t="s">
        <v>153</v>
      </c>
      <c r="C23" t="s">
        <v>58</v>
      </c>
      <c r="D23" t="s">
        <v>83</v>
      </c>
      <c r="E23" t="s">
        <v>64</v>
      </c>
      <c r="F23" t="s">
        <v>43</v>
      </c>
      <c r="G23" t="s">
        <v>19</v>
      </c>
      <c r="H23">
        <v>0</v>
      </c>
      <c r="I23">
        <v>1</v>
      </c>
      <c r="J23" t="s">
        <v>8</v>
      </c>
      <c r="K23">
        <v>0.7</v>
      </c>
      <c r="L23">
        <v>1.5</v>
      </c>
      <c r="M23">
        <v>63</v>
      </c>
      <c r="P23" s="1"/>
      <c r="Q23" s="1"/>
    </row>
    <row r="24" spans="1:17" x14ac:dyDescent="0.25">
      <c r="A24" s="1">
        <v>44173</v>
      </c>
      <c r="B24" t="s">
        <v>181</v>
      </c>
      <c r="C24" t="s">
        <v>118</v>
      </c>
      <c r="D24" t="s">
        <v>119</v>
      </c>
      <c r="E24" t="s">
        <v>69</v>
      </c>
      <c r="F24" t="s">
        <v>44</v>
      </c>
      <c r="G24" t="s">
        <v>18</v>
      </c>
      <c r="H24">
        <v>3</v>
      </c>
      <c r="I24">
        <v>1</v>
      </c>
      <c r="J24" t="s">
        <v>241</v>
      </c>
      <c r="K24">
        <v>1.5</v>
      </c>
      <c r="L24">
        <v>2.4</v>
      </c>
      <c r="M24">
        <v>50</v>
      </c>
    </row>
    <row r="25" spans="1:17" x14ac:dyDescent="0.25">
      <c r="A25" s="1">
        <v>44177</v>
      </c>
      <c r="B25" t="s">
        <v>153</v>
      </c>
      <c r="C25" t="s">
        <v>58</v>
      </c>
      <c r="D25" t="s">
        <v>84</v>
      </c>
      <c r="E25" t="s">
        <v>64</v>
      </c>
      <c r="F25" t="s">
        <v>44</v>
      </c>
      <c r="G25" t="s">
        <v>18</v>
      </c>
      <c r="H25">
        <v>1</v>
      </c>
      <c r="I25">
        <v>0</v>
      </c>
      <c r="J25" t="s">
        <v>12</v>
      </c>
      <c r="K25">
        <v>0.5</v>
      </c>
      <c r="L25">
        <v>0.5</v>
      </c>
      <c r="M25">
        <v>74</v>
      </c>
      <c r="P25" s="1"/>
    </row>
    <row r="26" spans="1:17" x14ac:dyDescent="0.25">
      <c r="A26" s="1">
        <v>44180</v>
      </c>
      <c r="B26" t="s">
        <v>155</v>
      </c>
      <c r="C26" t="s">
        <v>76</v>
      </c>
      <c r="D26" t="s">
        <v>124</v>
      </c>
      <c r="E26" t="s">
        <v>69</v>
      </c>
      <c r="F26" t="s">
        <v>44</v>
      </c>
      <c r="G26" t="s">
        <v>18</v>
      </c>
      <c r="H26">
        <v>3</v>
      </c>
      <c r="I26">
        <v>0</v>
      </c>
      <c r="J26" t="s">
        <v>242</v>
      </c>
      <c r="N26">
        <v>400</v>
      </c>
    </row>
    <row r="27" spans="1:17" x14ac:dyDescent="0.25">
      <c r="A27" s="1">
        <v>44184</v>
      </c>
      <c r="B27" t="s">
        <v>181</v>
      </c>
      <c r="C27" t="s">
        <v>58</v>
      </c>
      <c r="D27" t="s">
        <v>86</v>
      </c>
      <c r="E27" t="s">
        <v>64</v>
      </c>
      <c r="F27" t="s">
        <v>43</v>
      </c>
      <c r="G27" t="s">
        <v>4</v>
      </c>
      <c r="H27">
        <v>1</v>
      </c>
      <c r="I27">
        <v>1</v>
      </c>
      <c r="J27" t="s">
        <v>47</v>
      </c>
      <c r="K27">
        <v>1.7</v>
      </c>
      <c r="L27">
        <v>1</v>
      </c>
      <c r="M27">
        <v>59</v>
      </c>
      <c r="P27" s="1"/>
      <c r="Q27" s="1"/>
    </row>
    <row r="28" spans="1:17" x14ac:dyDescent="0.25">
      <c r="A28" s="1">
        <v>44187</v>
      </c>
      <c r="B28" t="s">
        <v>243</v>
      </c>
      <c r="C28" t="s">
        <v>58</v>
      </c>
      <c r="D28" t="s">
        <v>87</v>
      </c>
      <c r="E28" t="s">
        <v>69</v>
      </c>
      <c r="F28" t="s">
        <v>44</v>
      </c>
      <c r="G28" t="s">
        <v>18</v>
      </c>
      <c r="H28">
        <v>1</v>
      </c>
      <c r="I28">
        <v>0</v>
      </c>
      <c r="J28" t="s">
        <v>3</v>
      </c>
      <c r="K28">
        <v>1.8</v>
      </c>
      <c r="L28">
        <v>0.6</v>
      </c>
      <c r="M28">
        <v>70</v>
      </c>
      <c r="P28" s="1"/>
      <c r="Q28" s="1"/>
    </row>
    <row r="29" spans="1:17" x14ac:dyDescent="0.25">
      <c r="A29" s="1">
        <v>44194</v>
      </c>
      <c r="B29" t="s">
        <v>244</v>
      </c>
      <c r="C29" t="s">
        <v>58</v>
      </c>
      <c r="D29" t="s">
        <v>88</v>
      </c>
      <c r="E29" t="s">
        <v>69</v>
      </c>
      <c r="F29" t="s">
        <v>43</v>
      </c>
      <c r="G29" t="s">
        <v>18</v>
      </c>
      <c r="H29">
        <v>2</v>
      </c>
      <c r="I29">
        <v>0</v>
      </c>
      <c r="J29" t="s">
        <v>10</v>
      </c>
      <c r="K29">
        <v>2.2000000000000002</v>
      </c>
      <c r="L29">
        <v>0.6</v>
      </c>
      <c r="M29">
        <v>43</v>
      </c>
      <c r="P29" s="1"/>
      <c r="Q29" s="1"/>
    </row>
    <row r="30" spans="1:17" x14ac:dyDescent="0.25">
      <c r="A30" s="1">
        <v>44198</v>
      </c>
      <c r="B30" t="s">
        <v>153</v>
      </c>
      <c r="C30" t="s">
        <v>58</v>
      </c>
      <c r="D30" t="s">
        <v>90</v>
      </c>
      <c r="E30" t="s">
        <v>64</v>
      </c>
      <c r="F30" t="s">
        <v>44</v>
      </c>
      <c r="G30" t="s">
        <v>4</v>
      </c>
      <c r="H30">
        <v>1</v>
      </c>
      <c r="I30">
        <v>1</v>
      </c>
      <c r="J30" t="s">
        <v>11</v>
      </c>
      <c r="K30">
        <v>0.2</v>
      </c>
      <c r="L30">
        <v>2.1</v>
      </c>
      <c r="M30">
        <v>55</v>
      </c>
      <c r="P30" s="1"/>
    </row>
    <row r="31" spans="1:17" x14ac:dyDescent="0.25">
      <c r="A31" s="1">
        <v>44201</v>
      </c>
      <c r="B31" t="s">
        <v>162</v>
      </c>
      <c r="C31" t="s">
        <v>76</v>
      </c>
      <c r="D31" t="s">
        <v>126</v>
      </c>
      <c r="E31" t="s">
        <v>69</v>
      </c>
      <c r="F31" t="s">
        <v>44</v>
      </c>
      <c r="G31" t="s">
        <v>18</v>
      </c>
      <c r="H31">
        <v>2</v>
      </c>
      <c r="I31">
        <v>0</v>
      </c>
      <c r="J31" t="s">
        <v>245</v>
      </c>
      <c r="M31">
        <v>70</v>
      </c>
      <c r="N31" s="2">
        <v>1900</v>
      </c>
      <c r="P31" s="1"/>
    </row>
    <row r="32" spans="1:17" x14ac:dyDescent="0.25">
      <c r="A32" s="1">
        <v>44205</v>
      </c>
      <c r="B32" t="s">
        <v>212</v>
      </c>
      <c r="C32" t="s">
        <v>58</v>
      </c>
      <c r="D32" t="s">
        <v>93</v>
      </c>
      <c r="E32" t="s">
        <v>64</v>
      </c>
      <c r="F32" t="s">
        <v>43</v>
      </c>
      <c r="G32" t="s">
        <v>18</v>
      </c>
      <c r="H32">
        <v>3</v>
      </c>
      <c r="I32">
        <v>2</v>
      </c>
      <c r="J32" t="s">
        <v>49</v>
      </c>
      <c r="K32">
        <v>2.6</v>
      </c>
      <c r="L32">
        <v>0.8</v>
      </c>
      <c r="M32">
        <v>60</v>
      </c>
      <c r="P32" s="1"/>
      <c r="Q32" s="1"/>
    </row>
    <row r="33" spans="1:17" x14ac:dyDescent="0.25">
      <c r="A33" s="1">
        <v>44208</v>
      </c>
      <c r="B33" t="s">
        <v>160</v>
      </c>
      <c r="C33" t="s">
        <v>58</v>
      </c>
      <c r="D33" t="s">
        <v>59</v>
      </c>
      <c r="E33" t="s">
        <v>69</v>
      </c>
      <c r="F33" t="s">
        <v>44</v>
      </c>
      <c r="G33" t="s">
        <v>19</v>
      </c>
      <c r="H33">
        <v>0</v>
      </c>
      <c r="I33">
        <v>2</v>
      </c>
      <c r="J33" t="s">
        <v>65</v>
      </c>
      <c r="K33">
        <v>1.8</v>
      </c>
      <c r="L33">
        <v>0.4</v>
      </c>
      <c r="M33">
        <v>66</v>
      </c>
      <c r="P33" s="1"/>
      <c r="Q33" s="1"/>
    </row>
    <row r="34" spans="1:17" x14ac:dyDescent="0.25">
      <c r="A34" s="1">
        <v>44212</v>
      </c>
      <c r="B34" t="s">
        <v>155</v>
      </c>
      <c r="C34" t="s">
        <v>76</v>
      </c>
      <c r="D34" t="s">
        <v>77</v>
      </c>
      <c r="E34" t="s">
        <v>64</v>
      </c>
      <c r="F34" t="s">
        <v>44</v>
      </c>
      <c r="G34" t="s">
        <v>18</v>
      </c>
      <c r="H34">
        <v>1</v>
      </c>
      <c r="I34">
        <v>0</v>
      </c>
      <c r="J34" t="s">
        <v>82</v>
      </c>
      <c r="M34">
        <v>72</v>
      </c>
      <c r="Q34" s="1"/>
    </row>
    <row r="35" spans="1:17" x14ac:dyDescent="0.25">
      <c r="A35" s="1">
        <v>44215</v>
      </c>
      <c r="B35" t="s">
        <v>160</v>
      </c>
      <c r="C35" t="s">
        <v>58</v>
      </c>
      <c r="D35" t="s">
        <v>94</v>
      </c>
      <c r="E35" t="s">
        <v>69</v>
      </c>
      <c r="F35" t="s">
        <v>44</v>
      </c>
      <c r="G35" t="s">
        <v>18</v>
      </c>
      <c r="H35">
        <v>2</v>
      </c>
      <c r="I35">
        <v>1</v>
      </c>
      <c r="J35" t="s">
        <v>80</v>
      </c>
      <c r="K35">
        <v>1.2</v>
      </c>
      <c r="L35">
        <v>1.6</v>
      </c>
      <c r="M35">
        <v>62</v>
      </c>
      <c r="P35" s="1"/>
      <c r="Q35" s="1"/>
    </row>
    <row r="36" spans="1:17" x14ac:dyDescent="0.25">
      <c r="A36" s="1">
        <v>44219</v>
      </c>
      <c r="B36" t="s">
        <v>153</v>
      </c>
      <c r="C36" t="s">
        <v>58</v>
      </c>
      <c r="D36" t="s">
        <v>97</v>
      </c>
      <c r="E36" t="s">
        <v>64</v>
      </c>
      <c r="F36" t="s">
        <v>43</v>
      </c>
      <c r="G36" t="s">
        <v>18</v>
      </c>
      <c r="H36">
        <v>3</v>
      </c>
      <c r="I36">
        <v>0</v>
      </c>
      <c r="J36" t="s">
        <v>125</v>
      </c>
      <c r="K36">
        <v>2.2999999999999998</v>
      </c>
      <c r="L36">
        <v>0.7</v>
      </c>
      <c r="M36">
        <v>79</v>
      </c>
      <c r="P36" s="1"/>
      <c r="Q36" s="1"/>
    </row>
    <row r="37" spans="1:17" x14ac:dyDescent="0.25">
      <c r="A37" s="1">
        <v>44223</v>
      </c>
      <c r="B37" t="s">
        <v>162</v>
      </c>
      <c r="C37" t="s">
        <v>76</v>
      </c>
      <c r="D37" t="s">
        <v>91</v>
      </c>
      <c r="E37" t="s">
        <v>92</v>
      </c>
      <c r="F37" t="s">
        <v>43</v>
      </c>
      <c r="G37" t="s">
        <v>18</v>
      </c>
      <c r="H37">
        <v>3</v>
      </c>
      <c r="I37">
        <v>0</v>
      </c>
      <c r="J37" t="s">
        <v>3</v>
      </c>
      <c r="M37">
        <v>62</v>
      </c>
      <c r="P37" s="1"/>
    </row>
    <row r="38" spans="1:17" x14ac:dyDescent="0.25">
      <c r="A38" t="s">
        <v>0</v>
      </c>
      <c r="B38" t="s">
        <v>1</v>
      </c>
      <c r="C38" t="s">
        <v>16</v>
      </c>
      <c r="D38" t="s">
        <v>51</v>
      </c>
      <c r="E38" t="s">
        <v>52</v>
      </c>
      <c r="F38" t="s">
        <v>53</v>
      </c>
      <c r="G38" t="s">
        <v>54</v>
      </c>
      <c r="H38" t="s">
        <v>20</v>
      </c>
      <c r="I38" t="s">
        <v>21</v>
      </c>
      <c r="J38" t="s">
        <v>45</v>
      </c>
      <c r="K38" t="s">
        <v>55</v>
      </c>
      <c r="L38" t="s">
        <v>56</v>
      </c>
      <c r="M38" t="s">
        <v>57</v>
      </c>
      <c r="N38" t="s">
        <v>24</v>
      </c>
    </row>
    <row r="39" spans="1:17" x14ac:dyDescent="0.25">
      <c r="A39" s="1">
        <v>44226</v>
      </c>
      <c r="B39" t="s">
        <v>212</v>
      </c>
      <c r="C39" t="s">
        <v>58</v>
      </c>
      <c r="D39" t="s">
        <v>98</v>
      </c>
      <c r="E39" t="s">
        <v>64</v>
      </c>
      <c r="F39" t="s">
        <v>44</v>
      </c>
      <c r="G39" t="s">
        <v>18</v>
      </c>
      <c r="H39">
        <v>2</v>
      </c>
      <c r="I39">
        <v>0</v>
      </c>
      <c r="J39" t="s">
        <v>89</v>
      </c>
      <c r="K39">
        <v>1.5</v>
      </c>
      <c r="L39">
        <v>0.9</v>
      </c>
      <c r="M39">
        <v>51</v>
      </c>
      <c r="P39" s="1"/>
      <c r="Q39" s="1"/>
    </row>
    <row r="40" spans="1:17" x14ac:dyDescent="0.25">
      <c r="A40" s="1">
        <v>44229</v>
      </c>
      <c r="B40" t="s">
        <v>181</v>
      </c>
      <c r="C40" t="s">
        <v>76</v>
      </c>
      <c r="D40" t="s">
        <v>96</v>
      </c>
      <c r="E40" t="s">
        <v>69</v>
      </c>
      <c r="F40" t="s">
        <v>44</v>
      </c>
      <c r="G40" t="s">
        <v>18</v>
      </c>
      <c r="H40">
        <v>1</v>
      </c>
      <c r="I40">
        <v>0</v>
      </c>
      <c r="J40" t="s">
        <v>128</v>
      </c>
      <c r="M40">
        <v>61</v>
      </c>
      <c r="P40" s="1"/>
      <c r="Q40" s="1"/>
    </row>
    <row r="41" spans="1:17" x14ac:dyDescent="0.25">
      <c r="A41" s="1">
        <v>44233</v>
      </c>
      <c r="B41" t="s">
        <v>181</v>
      </c>
      <c r="C41" t="s">
        <v>58</v>
      </c>
      <c r="D41" t="s">
        <v>100</v>
      </c>
      <c r="E41" t="s">
        <v>64</v>
      </c>
      <c r="F41" t="s">
        <v>43</v>
      </c>
      <c r="G41" t="s">
        <v>18</v>
      </c>
      <c r="H41">
        <v>3</v>
      </c>
      <c r="I41">
        <v>0</v>
      </c>
      <c r="J41" t="s">
        <v>12</v>
      </c>
      <c r="K41">
        <v>2.2000000000000002</v>
      </c>
      <c r="L41">
        <v>0.2</v>
      </c>
      <c r="M41">
        <v>75</v>
      </c>
      <c r="P41" s="1"/>
    </row>
    <row r="42" spans="1:17" x14ac:dyDescent="0.25">
      <c r="A42" s="1">
        <v>44237</v>
      </c>
      <c r="B42" t="s">
        <v>181</v>
      </c>
      <c r="C42" t="s">
        <v>76</v>
      </c>
      <c r="D42" t="s">
        <v>99</v>
      </c>
      <c r="E42" t="s">
        <v>92</v>
      </c>
      <c r="F42" t="s">
        <v>43</v>
      </c>
      <c r="G42" t="s">
        <v>18</v>
      </c>
      <c r="H42">
        <v>2</v>
      </c>
      <c r="I42">
        <v>0</v>
      </c>
      <c r="J42" t="s">
        <v>13</v>
      </c>
      <c r="M42">
        <v>46</v>
      </c>
      <c r="Q42" s="1"/>
    </row>
    <row r="43" spans="1:17" x14ac:dyDescent="0.25">
      <c r="A43" s="1">
        <v>44240</v>
      </c>
      <c r="B43" t="s">
        <v>153</v>
      </c>
      <c r="C43" t="s">
        <v>58</v>
      </c>
      <c r="D43" t="s">
        <v>101</v>
      </c>
      <c r="E43" t="s">
        <v>64</v>
      </c>
      <c r="F43" t="s">
        <v>43</v>
      </c>
      <c r="G43" t="s">
        <v>18</v>
      </c>
      <c r="H43">
        <v>1</v>
      </c>
      <c r="I43">
        <v>0</v>
      </c>
      <c r="J43" t="s">
        <v>120</v>
      </c>
      <c r="K43">
        <v>1.5</v>
      </c>
      <c r="L43">
        <v>1.3</v>
      </c>
      <c r="M43">
        <v>65</v>
      </c>
      <c r="P43" s="1"/>
      <c r="Q43" s="1"/>
    </row>
    <row r="44" spans="1:17" x14ac:dyDescent="0.25">
      <c r="A44" s="1">
        <v>44244</v>
      </c>
      <c r="B44" t="s">
        <v>181</v>
      </c>
      <c r="C44" t="s">
        <v>118</v>
      </c>
      <c r="D44" t="s">
        <v>91</v>
      </c>
      <c r="E44" t="s">
        <v>92</v>
      </c>
      <c r="F44" t="s">
        <v>43</v>
      </c>
      <c r="G44" t="s">
        <v>19</v>
      </c>
      <c r="H44">
        <v>2</v>
      </c>
      <c r="I44">
        <v>3</v>
      </c>
      <c r="J44" t="s">
        <v>246</v>
      </c>
      <c r="K44">
        <v>0.9</v>
      </c>
      <c r="L44">
        <v>1.2</v>
      </c>
      <c r="M44">
        <v>65</v>
      </c>
      <c r="P44" s="1"/>
    </row>
    <row r="45" spans="1:17" x14ac:dyDescent="0.25">
      <c r="A45" s="1">
        <v>44249</v>
      </c>
      <c r="B45" t="s">
        <v>181</v>
      </c>
      <c r="C45" t="s">
        <v>58</v>
      </c>
      <c r="D45" t="s">
        <v>102</v>
      </c>
      <c r="E45" t="s">
        <v>117</v>
      </c>
      <c r="F45" t="s">
        <v>44</v>
      </c>
      <c r="G45" t="s">
        <v>18</v>
      </c>
      <c r="H45">
        <v>2</v>
      </c>
      <c r="I45">
        <v>0</v>
      </c>
      <c r="J45" t="s">
        <v>9</v>
      </c>
      <c r="K45">
        <v>0.7</v>
      </c>
      <c r="L45">
        <v>0.5</v>
      </c>
      <c r="M45">
        <v>59</v>
      </c>
      <c r="P45" s="1"/>
      <c r="Q45" s="1"/>
    </row>
    <row r="46" spans="1:17" x14ac:dyDescent="0.25">
      <c r="A46" s="1">
        <v>44254</v>
      </c>
      <c r="B46" t="s">
        <v>153</v>
      </c>
      <c r="C46" t="s">
        <v>58</v>
      </c>
      <c r="D46" t="s">
        <v>103</v>
      </c>
      <c r="E46" t="s">
        <v>64</v>
      </c>
      <c r="F46" t="s">
        <v>43</v>
      </c>
      <c r="G46" t="s">
        <v>19</v>
      </c>
      <c r="H46">
        <v>0</v>
      </c>
      <c r="I46">
        <v>2</v>
      </c>
      <c r="J46" t="s">
        <v>13</v>
      </c>
      <c r="K46">
        <v>0.2</v>
      </c>
      <c r="L46">
        <v>1.6</v>
      </c>
      <c r="M46">
        <v>45</v>
      </c>
    </row>
    <row r="47" spans="1:17" x14ac:dyDescent="0.25">
      <c r="A47" s="1">
        <v>44258</v>
      </c>
      <c r="B47" t="s">
        <v>181</v>
      </c>
      <c r="C47" t="s">
        <v>76</v>
      </c>
      <c r="D47" t="s">
        <v>99</v>
      </c>
      <c r="E47" t="s">
        <v>92</v>
      </c>
      <c r="F47" t="s">
        <v>44</v>
      </c>
      <c r="G47" t="s">
        <v>19</v>
      </c>
      <c r="H47">
        <v>0</v>
      </c>
      <c r="I47">
        <v>3</v>
      </c>
      <c r="J47" t="s">
        <v>13</v>
      </c>
      <c r="M47">
        <v>32</v>
      </c>
      <c r="P47" s="1"/>
    </row>
    <row r="48" spans="1:17" x14ac:dyDescent="0.25">
      <c r="A48" s="1">
        <v>44261</v>
      </c>
      <c r="B48" t="s">
        <v>153</v>
      </c>
      <c r="C48" t="s">
        <v>58</v>
      </c>
      <c r="D48" t="s">
        <v>104</v>
      </c>
      <c r="E48" t="s">
        <v>64</v>
      </c>
      <c r="F48" t="s">
        <v>44</v>
      </c>
      <c r="G48" t="s">
        <v>19</v>
      </c>
      <c r="H48">
        <v>1</v>
      </c>
      <c r="I48">
        <v>2</v>
      </c>
      <c r="J48" t="s">
        <v>123</v>
      </c>
      <c r="K48">
        <v>1.2</v>
      </c>
      <c r="L48">
        <v>0.9</v>
      </c>
      <c r="M48">
        <v>63</v>
      </c>
      <c r="P48" s="1"/>
      <c r="Q48" s="1"/>
    </row>
    <row r="49" spans="1:17" x14ac:dyDescent="0.25">
      <c r="A49" s="1">
        <v>44264</v>
      </c>
      <c r="B49" t="s">
        <v>181</v>
      </c>
      <c r="C49" t="s">
        <v>118</v>
      </c>
      <c r="D49" t="s">
        <v>91</v>
      </c>
      <c r="E49" t="s">
        <v>69</v>
      </c>
      <c r="F49" t="s">
        <v>44</v>
      </c>
      <c r="G49" t="s">
        <v>4</v>
      </c>
      <c r="H49">
        <v>2</v>
      </c>
      <c r="I49">
        <v>2</v>
      </c>
      <c r="J49" t="s">
        <v>246</v>
      </c>
      <c r="K49">
        <v>2</v>
      </c>
      <c r="L49">
        <v>2.2000000000000002</v>
      </c>
      <c r="M49">
        <v>68</v>
      </c>
      <c r="P49" s="1"/>
      <c r="Q49" s="1"/>
    </row>
    <row r="50" spans="1:17" x14ac:dyDescent="0.25">
      <c r="A50" s="1">
        <v>44269</v>
      </c>
      <c r="B50" t="s">
        <v>198</v>
      </c>
      <c r="C50" t="s">
        <v>58</v>
      </c>
      <c r="D50" t="s">
        <v>105</v>
      </c>
      <c r="E50" t="s">
        <v>62</v>
      </c>
      <c r="F50" t="s">
        <v>43</v>
      </c>
      <c r="G50" t="s">
        <v>18</v>
      </c>
      <c r="H50">
        <v>1</v>
      </c>
      <c r="I50">
        <v>0</v>
      </c>
      <c r="J50" t="s">
        <v>11</v>
      </c>
      <c r="K50">
        <v>0.6</v>
      </c>
      <c r="L50">
        <v>0.7</v>
      </c>
      <c r="M50">
        <v>53</v>
      </c>
      <c r="P50" s="1"/>
    </row>
    <row r="51" spans="1:17" x14ac:dyDescent="0.25">
      <c r="A51" s="1">
        <v>44272</v>
      </c>
      <c r="B51" t="s">
        <v>224</v>
      </c>
      <c r="C51" t="s">
        <v>58</v>
      </c>
      <c r="D51" t="s">
        <v>61</v>
      </c>
      <c r="E51" t="s">
        <v>92</v>
      </c>
      <c r="F51" t="s">
        <v>43</v>
      </c>
      <c r="G51" t="s">
        <v>18</v>
      </c>
      <c r="H51">
        <v>2</v>
      </c>
      <c r="I51">
        <v>0</v>
      </c>
      <c r="J51" t="s">
        <v>123</v>
      </c>
      <c r="K51">
        <v>1.5</v>
      </c>
      <c r="L51">
        <v>0.7</v>
      </c>
      <c r="M51">
        <v>66</v>
      </c>
      <c r="P51" s="1"/>
      <c r="Q51" s="1"/>
    </row>
    <row r="52" spans="1:17" x14ac:dyDescent="0.25">
      <c r="A52" s="1">
        <v>44275</v>
      </c>
      <c r="B52" t="s">
        <v>198</v>
      </c>
      <c r="C52" t="s">
        <v>58</v>
      </c>
      <c r="D52" t="s">
        <v>106</v>
      </c>
      <c r="E52" t="s">
        <v>64</v>
      </c>
      <c r="F52" t="s">
        <v>44</v>
      </c>
      <c r="G52" t="s">
        <v>4</v>
      </c>
      <c r="H52">
        <v>1</v>
      </c>
      <c r="I52">
        <v>1</v>
      </c>
      <c r="J52" t="s">
        <v>47</v>
      </c>
      <c r="K52">
        <v>1</v>
      </c>
      <c r="L52">
        <v>0.9</v>
      </c>
      <c r="M52">
        <v>69</v>
      </c>
      <c r="P52" s="1"/>
      <c r="Q52" s="1"/>
    </row>
    <row r="53" spans="1:17" x14ac:dyDescent="0.25">
      <c r="A53" s="1">
        <v>44290</v>
      </c>
      <c r="B53" t="s">
        <v>181</v>
      </c>
      <c r="C53" t="s">
        <v>58</v>
      </c>
      <c r="D53" t="s">
        <v>107</v>
      </c>
      <c r="E53" t="s">
        <v>62</v>
      </c>
      <c r="F53" t="s">
        <v>43</v>
      </c>
      <c r="G53" t="s">
        <v>18</v>
      </c>
      <c r="H53">
        <v>1</v>
      </c>
      <c r="I53">
        <v>0</v>
      </c>
      <c r="J53" t="s">
        <v>65</v>
      </c>
      <c r="K53">
        <v>2</v>
      </c>
      <c r="L53">
        <v>0.8</v>
      </c>
      <c r="M53">
        <v>57</v>
      </c>
      <c r="P53" s="1"/>
      <c r="Q53" s="1"/>
    </row>
    <row r="54" spans="1:17" x14ac:dyDescent="0.25">
      <c r="A54" s="1">
        <v>44298</v>
      </c>
      <c r="B54" t="s">
        <v>181</v>
      </c>
      <c r="C54" t="s">
        <v>58</v>
      </c>
      <c r="D54" t="s">
        <v>108</v>
      </c>
      <c r="E54" t="s">
        <v>117</v>
      </c>
      <c r="F54" t="s">
        <v>44</v>
      </c>
      <c r="G54" t="s">
        <v>18</v>
      </c>
      <c r="H54">
        <v>4</v>
      </c>
      <c r="I54">
        <v>3</v>
      </c>
      <c r="J54" t="s">
        <v>50</v>
      </c>
      <c r="K54">
        <v>1.6</v>
      </c>
      <c r="L54">
        <v>2.6</v>
      </c>
      <c r="M54">
        <v>58</v>
      </c>
      <c r="P54" s="1"/>
    </row>
    <row r="55" spans="1:17" x14ac:dyDescent="0.25">
      <c r="A55" s="1">
        <v>44304</v>
      </c>
      <c r="B55" t="s">
        <v>212</v>
      </c>
      <c r="C55" t="s">
        <v>58</v>
      </c>
      <c r="D55" t="s">
        <v>111</v>
      </c>
      <c r="E55" t="s">
        <v>62</v>
      </c>
      <c r="F55" t="s">
        <v>44</v>
      </c>
      <c r="G55" t="s">
        <v>18</v>
      </c>
      <c r="H55">
        <v>2</v>
      </c>
      <c r="I55">
        <v>1</v>
      </c>
      <c r="J55" t="s">
        <v>49</v>
      </c>
      <c r="K55">
        <v>3.4</v>
      </c>
      <c r="L55">
        <v>0.3</v>
      </c>
      <c r="M55">
        <v>52</v>
      </c>
      <c r="P55" s="1"/>
    </row>
    <row r="56" spans="1:17" x14ac:dyDescent="0.25">
      <c r="A56" s="1">
        <v>44307</v>
      </c>
      <c r="B56" t="s">
        <v>162</v>
      </c>
      <c r="C56" t="s">
        <v>58</v>
      </c>
      <c r="D56" t="s">
        <v>109</v>
      </c>
      <c r="E56" t="s">
        <v>92</v>
      </c>
      <c r="F56" t="s">
        <v>44</v>
      </c>
      <c r="G56" t="s">
        <v>18</v>
      </c>
      <c r="H56">
        <v>1</v>
      </c>
      <c r="I56">
        <v>0</v>
      </c>
      <c r="J56" t="s">
        <v>67</v>
      </c>
      <c r="K56">
        <v>2</v>
      </c>
      <c r="L56">
        <v>0.3</v>
      </c>
      <c r="M56">
        <v>57</v>
      </c>
      <c r="P56" s="1"/>
    </row>
    <row r="57" spans="1:17" x14ac:dyDescent="0.25">
      <c r="A57" s="1">
        <v>44311</v>
      </c>
      <c r="B57" t="s">
        <v>157</v>
      </c>
      <c r="C57" t="s">
        <v>58</v>
      </c>
      <c r="D57" t="s">
        <v>110</v>
      </c>
      <c r="E57" t="s">
        <v>62</v>
      </c>
      <c r="F57" t="s">
        <v>43</v>
      </c>
      <c r="G57" t="s">
        <v>18</v>
      </c>
      <c r="H57">
        <v>2</v>
      </c>
      <c r="I57">
        <v>1</v>
      </c>
      <c r="J57" t="s">
        <v>14</v>
      </c>
      <c r="K57">
        <v>1.3</v>
      </c>
      <c r="L57">
        <v>0.9</v>
      </c>
      <c r="M57">
        <v>64</v>
      </c>
      <c r="P57" s="1"/>
      <c r="Q57" s="1"/>
    </row>
    <row r="58" spans="1:17" x14ac:dyDescent="0.25">
      <c r="A58" s="1">
        <v>44319</v>
      </c>
      <c r="B58" t="s">
        <v>181</v>
      </c>
      <c r="C58" t="s">
        <v>58</v>
      </c>
      <c r="D58" t="s">
        <v>112</v>
      </c>
      <c r="E58" t="s">
        <v>117</v>
      </c>
      <c r="F58" t="s">
        <v>43</v>
      </c>
      <c r="G58" t="s">
        <v>19</v>
      </c>
      <c r="H58">
        <v>0</v>
      </c>
      <c r="I58">
        <v>1</v>
      </c>
      <c r="J58" t="s">
        <v>73</v>
      </c>
      <c r="K58">
        <v>1.1000000000000001</v>
      </c>
      <c r="L58">
        <v>0.7</v>
      </c>
      <c r="M58">
        <v>73</v>
      </c>
      <c r="P58" s="1"/>
      <c r="Q58" s="1"/>
    </row>
    <row r="59" spans="1:17" x14ac:dyDescent="0.25">
      <c r="A59" s="1">
        <v>44325</v>
      </c>
      <c r="B59" t="s">
        <v>181</v>
      </c>
      <c r="C59" t="s">
        <v>58</v>
      </c>
      <c r="D59" t="s">
        <v>113</v>
      </c>
      <c r="E59" t="s">
        <v>62</v>
      </c>
      <c r="F59" t="s">
        <v>44</v>
      </c>
      <c r="G59" t="s">
        <v>4</v>
      </c>
      <c r="H59">
        <v>2</v>
      </c>
      <c r="I59">
        <v>2</v>
      </c>
      <c r="J59" t="s">
        <v>8</v>
      </c>
      <c r="K59">
        <v>1.2</v>
      </c>
      <c r="L59">
        <v>0.9</v>
      </c>
      <c r="M59">
        <v>42</v>
      </c>
      <c r="P59" s="1"/>
      <c r="Q59" s="1"/>
    </row>
    <row r="60" spans="1:17" x14ac:dyDescent="0.25">
      <c r="A60" s="1">
        <v>44328</v>
      </c>
      <c r="B60" t="s">
        <v>162</v>
      </c>
      <c r="C60" t="s">
        <v>58</v>
      </c>
      <c r="D60" t="s">
        <v>114</v>
      </c>
      <c r="E60" t="s">
        <v>92</v>
      </c>
      <c r="F60" t="s">
        <v>43</v>
      </c>
      <c r="G60" t="s">
        <v>18</v>
      </c>
      <c r="H60">
        <v>1</v>
      </c>
      <c r="I60">
        <v>0</v>
      </c>
      <c r="J60" t="s">
        <v>3</v>
      </c>
      <c r="K60">
        <v>0.9</v>
      </c>
      <c r="L60">
        <v>0.4</v>
      </c>
      <c r="M60">
        <v>61</v>
      </c>
      <c r="P60" s="1"/>
      <c r="Q60" s="1"/>
    </row>
    <row r="61" spans="1:17" x14ac:dyDescent="0.25">
      <c r="A61" s="1">
        <v>44332</v>
      </c>
      <c r="B61" t="s">
        <v>157</v>
      </c>
      <c r="C61" t="s">
        <v>58</v>
      </c>
      <c r="D61" t="s">
        <v>115</v>
      </c>
      <c r="E61" t="s">
        <v>62</v>
      </c>
      <c r="F61" t="s">
        <v>44</v>
      </c>
      <c r="G61" t="s">
        <v>19</v>
      </c>
      <c r="H61">
        <v>0</v>
      </c>
      <c r="I61">
        <v>4</v>
      </c>
      <c r="J61" t="s">
        <v>10</v>
      </c>
      <c r="K61">
        <v>1.6</v>
      </c>
      <c r="L61">
        <v>1.2</v>
      </c>
      <c r="M61">
        <v>57</v>
      </c>
      <c r="N61" s="2">
        <v>4800</v>
      </c>
      <c r="Q61" s="1"/>
    </row>
    <row r="62" spans="1:17" x14ac:dyDescent="0.25">
      <c r="A62" s="1">
        <v>44339</v>
      </c>
      <c r="B62" t="s">
        <v>181</v>
      </c>
      <c r="C62" t="s">
        <v>58</v>
      </c>
      <c r="D62" t="s">
        <v>116</v>
      </c>
      <c r="E62" t="s">
        <v>62</v>
      </c>
      <c r="F62" t="s">
        <v>43</v>
      </c>
      <c r="G62" t="s">
        <v>18</v>
      </c>
      <c r="H62">
        <v>1</v>
      </c>
      <c r="I62">
        <v>0</v>
      </c>
      <c r="J62" t="s">
        <v>80</v>
      </c>
      <c r="K62">
        <v>0.4</v>
      </c>
      <c r="L62">
        <v>1.1000000000000001</v>
      </c>
      <c r="M62">
        <v>68</v>
      </c>
      <c r="P62" s="1"/>
      <c r="Q62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AE5CD-70D8-44C4-9778-86F62F8DBF12}">
  <dimension ref="A1:Q60"/>
  <sheetViews>
    <sheetView workbookViewId="0">
      <selection activeCell="O16" sqref="O16"/>
    </sheetView>
  </sheetViews>
  <sheetFormatPr defaultRowHeight="15" x14ac:dyDescent="0.25"/>
  <cols>
    <col min="1" max="1" width="10.28515625" customWidth="1"/>
  </cols>
  <sheetData>
    <row r="1" spans="1:17" x14ac:dyDescent="0.25">
      <c r="A1" t="s">
        <v>247</v>
      </c>
    </row>
    <row r="2" spans="1:17" x14ac:dyDescent="0.25">
      <c r="A2" t="s">
        <v>248</v>
      </c>
    </row>
    <row r="3" spans="1:17" x14ac:dyDescent="0.25">
      <c r="A3" t="s">
        <v>249</v>
      </c>
    </row>
    <row r="4" spans="1:17" x14ac:dyDescent="0.25">
      <c r="A4" t="s">
        <v>250</v>
      </c>
    </row>
    <row r="7" spans="1:17" x14ac:dyDescent="0.25">
      <c r="A7" t="s">
        <v>1</v>
      </c>
      <c r="B7" t="s">
        <v>16</v>
      </c>
      <c r="C7" t="s">
        <v>51</v>
      </c>
      <c r="D7" t="s">
        <v>52</v>
      </c>
      <c r="E7" t="s">
        <v>53</v>
      </c>
      <c r="F7" t="s">
        <v>54</v>
      </c>
      <c r="G7" t="s">
        <v>20</v>
      </c>
      <c r="H7" t="s">
        <v>21</v>
      </c>
      <c r="I7" t="s">
        <v>45</v>
      </c>
      <c r="J7" t="s">
        <v>55</v>
      </c>
      <c r="K7" t="s">
        <v>56</v>
      </c>
      <c r="L7" t="s">
        <v>57</v>
      </c>
      <c r="M7" t="s">
        <v>24</v>
      </c>
    </row>
    <row r="8" spans="1:17" x14ac:dyDescent="0.25">
      <c r="A8" s="1">
        <v>44423</v>
      </c>
      <c r="B8" t="s">
        <v>152</v>
      </c>
      <c r="C8" t="s">
        <v>58</v>
      </c>
      <c r="D8" t="s">
        <v>59</v>
      </c>
      <c r="E8" t="s">
        <v>62</v>
      </c>
      <c r="F8" t="s">
        <v>43</v>
      </c>
      <c r="G8" t="s">
        <v>18</v>
      </c>
      <c r="H8">
        <v>3</v>
      </c>
      <c r="I8">
        <v>0</v>
      </c>
      <c r="J8" t="s">
        <v>46</v>
      </c>
      <c r="K8">
        <v>3.7</v>
      </c>
      <c r="L8">
        <v>0.4</v>
      </c>
      <c r="M8">
        <v>74</v>
      </c>
      <c r="N8" s="2"/>
      <c r="P8" s="1"/>
    </row>
    <row r="9" spans="1:17" x14ac:dyDescent="0.25">
      <c r="A9" s="1">
        <v>44431</v>
      </c>
      <c r="B9" t="s">
        <v>155</v>
      </c>
      <c r="C9" t="s">
        <v>58</v>
      </c>
      <c r="D9" t="s">
        <v>61</v>
      </c>
      <c r="E9" t="s">
        <v>117</v>
      </c>
      <c r="F9" t="s">
        <v>44</v>
      </c>
      <c r="G9" t="s">
        <v>18</v>
      </c>
      <c r="H9">
        <v>1</v>
      </c>
      <c r="I9">
        <v>0</v>
      </c>
      <c r="J9" t="s">
        <v>12</v>
      </c>
      <c r="K9">
        <v>1.2</v>
      </c>
      <c r="L9">
        <v>0.5</v>
      </c>
      <c r="M9">
        <v>60</v>
      </c>
      <c r="N9" s="2"/>
      <c r="Q9" s="1"/>
    </row>
    <row r="10" spans="1:17" x14ac:dyDescent="0.25">
      <c r="A10" s="1">
        <v>44436</v>
      </c>
      <c r="B10" t="s">
        <v>166</v>
      </c>
      <c r="C10" t="s">
        <v>58</v>
      </c>
      <c r="D10" t="s">
        <v>63</v>
      </c>
      <c r="E10" t="s">
        <v>64</v>
      </c>
      <c r="F10" t="s">
        <v>44</v>
      </c>
      <c r="G10" t="s">
        <v>4</v>
      </c>
      <c r="H10">
        <v>1</v>
      </c>
      <c r="I10">
        <v>1</v>
      </c>
      <c r="J10" t="s">
        <v>123</v>
      </c>
      <c r="K10">
        <v>1.3</v>
      </c>
      <c r="L10">
        <v>0.5</v>
      </c>
      <c r="M10">
        <v>70</v>
      </c>
      <c r="N10" s="2"/>
      <c r="P10" s="1"/>
      <c r="Q10" s="1"/>
    </row>
    <row r="11" spans="1:17" x14ac:dyDescent="0.25">
      <c r="A11" s="1">
        <v>44453</v>
      </c>
      <c r="B11" t="s">
        <v>251</v>
      </c>
      <c r="C11" t="s">
        <v>118</v>
      </c>
      <c r="D11" t="s">
        <v>119</v>
      </c>
      <c r="E11" t="s">
        <v>69</v>
      </c>
      <c r="F11" t="s">
        <v>43</v>
      </c>
      <c r="G11" t="s">
        <v>4</v>
      </c>
      <c r="H11">
        <v>1</v>
      </c>
      <c r="I11">
        <v>1</v>
      </c>
      <c r="J11" t="s">
        <v>252</v>
      </c>
      <c r="K11">
        <v>1.5</v>
      </c>
      <c r="L11">
        <v>2.9</v>
      </c>
      <c r="M11">
        <v>48</v>
      </c>
      <c r="N11" s="2"/>
      <c r="P11" s="1"/>
    </row>
    <row r="12" spans="1:17" x14ac:dyDescent="0.25">
      <c r="A12" s="1">
        <v>44458</v>
      </c>
      <c r="B12" t="s">
        <v>153</v>
      </c>
      <c r="C12" t="s">
        <v>58</v>
      </c>
      <c r="D12" t="s">
        <v>68</v>
      </c>
      <c r="E12" t="s">
        <v>62</v>
      </c>
      <c r="F12" t="s">
        <v>44</v>
      </c>
      <c r="G12" t="s">
        <v>4</v>
      </c>
      <c r="H12">
        <v>0</v>
      </c>
      <c r="I12">
        <v>0</v>
      </c>
      <c r="J12" t="s">
        <v>49</v>
      </c>
      <c r="K12">
        <v>0.5</v>
      </c>
      <c r="L12">
        <v>1.3</v>
      </c>
      <c r="M12">
        <v>53</v>
      </c>
      <c r="N12" s="2"/>
      <c r="P12" s="1"/>
      <c r="Q12" s="1"/>
    </row>
    <row r="13" spans="1:17" x14ac:dyDescent="0.25">
      <c r="A13" s="1">
        <v>44461</v>
      </c>
      <c r="B13" t="s">
        <v>166</v>
      </c>
      <c r="C13" t="s">
        <v>58</v>
      </c>
      <c r="D13" t="s">
        <v>71</v>
      </c>
      <c r="E13" t="s">
        <v>92</v>
      </c>
      <c r="F13" t="s">
        <v>43</v>
      </c>
      <c r="G13" t="s">
        <v>18</v>
      </c>
      <c r="H13">
        <v>3</v>
      </c>
      <c r="I13">
        <v>1</v>
      </c>
      <c r="J13" t="s">
        <v>3</v>
      </c>
      <c r="K13">
        <v>1</v>
      </c>
      <c r="L13">
        <v>0.4</v>
      </c>
      <c r="M13">
        <v>58</v>
      </c>
      <c r="N13" s="2"/>
      <c r="P13" s="1"/>
      <c r="Q13" s="1"/>
    </row>
    <row r="14" spans="1:17" x14ac:dyDescent="0.25">
      <c r="A14" s="1">
        <v>44464</v>
      </c>
      <c r="B14" t="s">
        <v>157</v>
      </c>
      <c r="C14" t="s">
        <v>58</v>
      </c>
      <c r="D14" t="s">
        <v>72</v>
      </c>
      <c r="E14" t="s">
        <v>64</v>
      </c>
      <c r="F14" t="s">
        <v>43</v>
      </c>
      <c r="G14" t="s">
        <v>18</v>
      </c>
      <c r="H14">
        <v>2</v>
      </c>
      <c r="I14">
        <v>0</v>
      </c>
      <c r="J14" t="s">
        <v>48</v>
      </c>
      <c r="K14">
        <v>1.8</v>
      </c>
      <c r="L14">
        <v>0.7</v>
      </c>
      <c r="M14">
        <v>54</v>
      </c>
      <c r="N14" s="2"/>
      <c r="P14" s="1"/>
    </row>
    <row r="15" spans="1:17" x14ac:dyDescent="0.25">
      <c r="A15" s="1">
        <v>44468</v>
      </c>
      <c r="B15" t="s">
        <v>181</v>
      </c>
      <c r="C15" t="s">
        <v>118</v>
      </c>
      <c r="D15" t="s">
        <v>119</v>
      </c>
      <c r="E15" t="s">
        <v>92</v>
      </c>
      <c r="F15" t="s">
        <v>44</v>
      </c>
      <c r="G15" t="s">
        <v>4</v>
      </c>
      <c r="H15">
        <v>1</v>
      </c>
      <c r="I15">
        <v>1</v>
      </c>
      <c r="J15" t="s">
        <v>253</v>
      </c>
      <c r="K15">
        <v>1.1000000000000001</v>
      </c>
      <c r="L15">
        <v>1.2</v>
      </c>
      <c r="M15">
        <v>69</v>
      </c>
      <c r="N15" s="2"/>
    </row>
    <row r="16" spans="1:17" x14ac:dyDescent="0.25">
      <c r="A16" s="1">
        <v>44472</v>
      </c>
      <c r="B16" t="s">
        <v>181</v>
      </c>
      <c r="C16" t="s">
        <v>58</v>
      </c>
      <c r="D16" t="s">
        <v>74</v>
      </c>
      <c r="E16" t="s">
        <v>62</v>
      </c>
      <c r="F16" t="s">
        <v>44</v>
      </c>
      <c r="G16" t="s">
        <v>19</v>
      </c>
      <c r="H16">
        <v>0</v>
      </c>
      <c r="I16">
        <v>1</v>
      </c>
      <c r="J16" t="s">
        <v>14</v>
      </c>
      <c r="K16">
        <v>1.3</v>
      </c>
      <c r="L16">
        <v>0.1</v>
      </c>
      <c r="M16">
        <v>68</v>
      </c>
      <c r="N16" s="2"/>
      <c r="P16" s="1"/>
    </row>
    <row r="17" spans="1:17" x14ac:dyDescent="0.25">
      <c r="A17" s="1">
        <v>44486</v>
      </c>
      <c r="B17" t="s">
        <v>153</v>
      </c>
      <c r="C17" t="s">
        <v>58</v>
      </c>
      <c r="D17" t="s">
        <v>75</v>
      </c>
      <c r="E17" t="s">
        <v>62</v>
      </c>
      <c r="F17" t="s">
        <v>44</v>
      </c>
      <c r="G17" t="s">
        <v>18</v>
      </c>
      <c r="H17">
        <v>1</v>
      </c>
      <c r="I17">
        <v>0</v>
      </c>
      <c r="J17" t="s">
        <v>50</v>
      </c>
      <c r="K17">
        <v>1</v>
      </c>
      <c r="L17">
        <v>1.2</v>
      </c>
      <c r="M17">
        <v>54</v>
      </c>
      <c r="N17" s="2"/>
      <c r="P17" s="1"/>
    </row>
    <row r="18" spans="1:17" x14ac:dyDescent="0.25">
      <c r="A18" s="1">
        <v>44489</v>
      </c>
      <c r="B18" t="s">
        <v>181</v>
      </c>
      <c r="C18" t="s">
        <v>118</v>
      </c>
      <c r="D18" t="s">
        <v>119</v>
      </c>
      <c r="E18" t="s">
        <v>92</v>
      </c>
      <c r="F18" t="s">
        <v>44</v>
      </c>
      <c r="G18" t="s">
        <v>4</v>
      </c>
      <c r="H18">
        <v>0</v>
      </c>
      <c r="I18">
        <v>0</v>
      </c>
      <c r="J18" t="s">
        <v>254</v>
      </c>
      <c r="K18">
        <v>1.1000000000000001</v>
      </c>
      <c r="L18">
        <v>0.8</v>
      </c>
      <c r="M18">
        <v>61</v>
      </c>
      <c r="N18" s="2"/>
      <c r="Q18" s="1"/>
    </row>
    <row r="19" spans="1:17" x14ac:dyDescent="0.25">
      <c r="A19" s="1">
        <v>44493</v>
      </c>
      <c r="B19" t="s">
        <v>212</v>
      </c>
      <c r="C19" t="s">
        <v>58</v>
      </c>
      <c r="D19" t="s">
        <v>79</v>
      </c>
      <c r="E19" t="s">
        <v>62</v>
      </c>
      <c r="F19" t="s">
        <v>43</v>
      </c>
      <c r="G19" t="s">
        <v>18</v>
      </c>
      <c r="H19">
        <v>5</v>
      </c>
      <c r="I19">
        <v>3</v>
      </c>
      <c r="J19" t="s">
        <v>67</v>
      </c>
      <c r="K19">
        <v>1.6</v>
      </c>
      <c r="L19">
        <v>1.9</v>
      </c>
      <c r="M19">
        <v>60</v>
      </c>
      <c r="N19" s="2"/>
      <c r="Q19" s="1"/>
    </row>
    <row r="20" spans="1:17" x14ac:dyDescent="0.25">
      <c r="A20" s="1">
        <v>44496</v>
      </c>
      <c r="B20" t="s">
        <v>162</v>
      </c>
      <c r="C20" t="s">
        <v>58</v>
      </c>
      <c r="D20" t="s">
        <v>81</v>
      </c>
      <c r="E20" t="s">
        <v>92</v>
      </c>
      <c r="F20" t="s">
        <v>44</v>
      </c>
      <c r="G20" t="s">
        <v>4</v>
      </c>
      <c r="H20">
        <v>1</v>
      </c>
      <c r="I20">
        <v>1</v>
      </c>
      <c r="J20" t="s">
        <v>7</v>
      </c>
      <c r="K20">
        <v>0.8</v>
      </c>
      <c r="L20">
        <v>1.5</v>
      </c>
      <c r="M20">
        <v>69</v>
      </c>
      <c r="N20" s="2"/>
      <c r="P20" s="1"/>
      <c r="Q20" s="1"/>
    </row>
    <row r="21" spans="1:17" x14ac:dyDescent="0.25">
      <c r="A21" s="1">
        <v>44499</v>
      </c>
      <c r="B21" t="s">
        <v>153</v>
      </c>
      <c r="C21" t="s">
        <v>58</v>
      </c>
      <c r="D21" t="s">
        <v>83</v>
      </c>
      <c r="E21" t="s">
        <v>64</v>
      </c>
      <c r="F21" t="s">
        <v>43</v>
      </c>
      <c r="G21" t="s">
        <v>18</v>
      </c>
      <c r="H21">
        <v>2</v>
      </c>
      <c r="I21">
        <v>0</v>
      </c>
      <c r="J21" t="s">
        <v>9</v>
      </c>
      <c r="K21">
        <v>2</v>
      </c>
      <c r="L21">
        <v>0.6</v>
      </c>
      <c r="M21">
        <v>63</v>
      </c>
      <c r="N21" s="2"/>
      <c r="P21" s="1"/>
      <c r="Q21" s="1"/>
    </row>
    <row r="22" spans="1:17" x14ac:dyDescent="0.25">
      <c r="A22" s="1">
        <v>44502</v>
      </c>
      <c r="B22" t="s">
        <v>198</v>
      </c>
      <c r="C22" t="s">
        <v>118</v>
      </c>
      <c r="D22" t="s">
        <v>119</v>
      </c>
      <c r="E22" t="s">
        <v>69</v>
      </c>
      <c r="F22" t="s">
        <v>43</v>
      </c>
      <c r="G22" t="s">
        <v>19</v>
      </c>
      <c r="H22">
        <v>1</v>
      </c>
      <c r="I22">
        <v>2</v>
      </c>
      <c r="J22" t="s">
        <v>254</v>
      </c>
      <c r="K22">
        <v>1</v>
      </c>
      <c r="L22">
        <v>1.9</v>
      </c>
      <c r="M22">
        <v>58</v>
      </c>
      <c r="N22" s="2"/>
      <c r="Q22" s="1"/>
    </row>
    <row r="23" spans="1:17" x14ac:dyDescent="0.25">
      <c r="A23" s="1">
        <v>44507</v>
      </c>
      <c r="B23" t="s">
        <v>181</v>
      </c>
      <c r="C23" t="s">
        <v>58</v>
      </c>
      <c r="D23" t="s">
        <v>84</v>
      </c>
      <c r="E23" t="s">
        <v>62</v>
      </c>
      <c r="F23" t="s">
        <v>44</v>
      </c>
      <c r="G23" t="s">
        <v>18</v>
      </c>
      <c r="H23">
        <v>2</v>
      </c>
      <c r="I23">
        <v>0</v>
      </c>
      <c r="J23" t="s">
        <v>11</v>
      </c>
      <c r="K23">
        <v>1.7</v>
      </c>
      <c r="L23">
        <v>0.3</v>
      </c>
      <c r="M23">
        <v>74</v>
      </c>
      <c r="N23" s="2"/>
      <c r="P23" s="1"/>
    </row>
    <row r="24" spans="1:17" x14ac:dyDescent="0.25">
      <c r="A24" s="1">
        <v>44520</v>
      </c>
      <c r="B24" t="s">
        <v>153</v>
      </c>
      <c r="C24" t="s">
        <v>58</v>
      </c>
      <c r="D24" t="s">
        <v>86</v>
      </c>
      <c r="E24" t="s">
        <v>64</v>
      </c>
      <c r="F24" t="s">
        <v>43</v>
      </c>
      <c r="G24" t="s">
        <v>4</v>
      </c>
      <c r="H24">
        <v>2</v>
      </c>
      <c r="I24">
        <v>2</v>
      </c>
      <c r="J24" t="s">
        <v>80</v>
      </c>
      <c r="K24">
        <v>1.8</v>
      </c>
      <c r="L24">
        <v>1.1000000000000001</v>
      </c>
      <c r="M24">
        <v>68</v>
      </c>
      <c r="N24" s="2"/>
      <c r="P24" s="1"/>
    </row>
    <row r="25" spans="1:17" x14ac:dyDescent="0.25">
      <c r="A25" s="1">
        <v>44523</v>
      </c>
      <c r="B25" t="s">
        <v>181</v>
      </c>
      <c r="C25" t="s">
        <v>118</v>
      </c>
      <c r="D25" t="s">
        <v>119</v>
      </c>
      <c r="E25" t="s">
        <v>69</v>
      </c>
      <c r="F25" t="s">
        <v>43</v>
      </c>
      <c r="G25" t="s">
        <v>18</v>
      </c>
      <c r="H25">
        <v>2</v>
      </c>
      <c r="I25">
        <v>0</v>
      </c>
      <c r="J25" t="s">
        <v>253</v>
      </c>
      <c r="K25">
        <v>1.6</v>
      </c>
      <c r="L25">
        <v>0.3</v>
      </c>
      <c r="M25">
        <v>62</v>
      </c>
      <c r="N25" s="2"/>
      <c r="P25" s="1"/>
      <c r="Q25" s="1"/>
    </row>
    <row r="26" spans="1:17" x14ac:dyDescent="0.25">
      <c r="A26" s="1">
        <v>44528</v>
      </c>
      <c r="B26" t="s">
        <v>181</v>
      </c>
      <c r="C26" t="s">
        <v>58</v>
      </c>
      <c r="D26" t="s">
        <v>87</v>
      </c>
      <c r="E26" t="s">
        <v>62</v>
      </c>
      <c r="F26" t="s">
        <v>44</v>
      </c>
      <c r="G26" t="s">
        <v>19</v>
      </c>
      <c r="H26">
        <v>1</v>
      </c>
      <c r="I26">
        <v>2</v>
      </c>
      <c r="J26" t="s">
        <v>8</v>
      </c>
      <c r="K26">
        <v>0.7</v>
      </c>
      <c r="L26">
        <v>1.2</v>
      </c>
      <c r="M26">
        <v>47</v>
      </c>
      <c r="N26" s="2"/>
      <c r="P26" s="1"/>
      <c r="Q26" s="1"/>
    </row>
    <row r="27" spans="1:17" x14ac:dyDescent="0.25">
      <c r="A27" s="1">
        <v>44531</v>
      </c>
      <c r="B27" t="s">
        <v>162</v>
      </c>
      <c r="C27" t="s">
        <v>76</v>
      </c>
      <c r="D27" t="s">
        <v>124</v>
      </c>
      <c r="E27" t="s">
        <v>92</v>
      </c>
      <c r="F27" t="s">
        <v>44</v>
      </c>
      <c r="G27" t="s">
        <v>18</v>
      </c>
      <c r="H27">
        <v>1</v>
      </c>
      <c r="I27">
        <v>0</v>
      </c>
      <c r="J27" t="s">
        <v>255</v>
      </c>
      <c r="M27">
        <v>68</v>
      </c>
      <c r="N27" s="2"/>
      <c r="P27" s="1"/>
      <c r="Q27" s="1"/>
    </row>
    <row r="28" spans="1:17" x14ac:dyDescent="0.25">
      <c r="A28" s="1">
        <v>44534</v>
      </c>
      <c r="B28" t="s">
        <v>212</v>
      </c>
      <c r="C28" t="s">
        <v>58</v>
      </c>
      <c r="D28" t="s">
        <v>88</v>
      </c>
      <c r="E28" t="s">
        <v>64</v>
      </c>
      <c r="F28" t="s">
        <v>43</v>
      </c>
      <c r="G28" t="s">
        <v>18</v>
      </c>
      <c r="H28">
        <v>1</v>
      </c>
      <c r="I28">
        <v>0</v>
      </c>
      <c r="J28" t="s">
        <v>10</v>
      </c>
      <c r="K28">
        <v>0.4</v>
      </c>
      <c r="L28">
        <v>1.7</v>
      </c>
      <c r="M28">
        <v>45</v>
      </c>
      <c r="N28" s="2"/>
      <c r="P28" s="1"/>
      <c r="Q28" s="1"/>
    </row>
    <row r="29" spans="1:17" x14ac:dyDescent="0.25">
      <c r="A29" s="1">
        <v>44538</v>
      </c>
      <c r="B29" t="s">
        <v>181</v>
      </c>
      <c r="C29" t="s">
        <v>118</v>
      </c>
      <c r="D29" t="s">
        <v>119</v>
      </c>
      <c r="E29" t="s">
        <v>92</v>
      </c>
      <c r="F29" t="s">
        <v>44</v>
      </c>
      <c r="G29" t="s">
        <v>19</v>
      </c>
      <c r="H29">
        <v>0</v>
      </c>
      <c r="I29">
        <v>1</v>
      </c>
      <c r="J29" t="s">
        <v>252</v>
      </c>
      <c r="K29">
        <v>0.9</v>
      </c>
      <c r="L29">
        <v>0.6</v>
      </c>
      <c r="M29">
        <v>65</v>
      </c>
      <c r="P29" s="1"/>
    </row>
    <row r="30" spans="1:17" x14ac:dyDescent="0.25">
      <c r="A30" s="1">
        <v>44541</v>
      </c>
      <c r="B30" t="s">
        <v>181</v>
      </c>
      <c r="C30" t="s">
        <v>58</v>
      </c>
      <c r="D30" t="s">
        <v>90</v>
      </c>
      <c r="E30" t="s">
        <v>64</v>
      </c>
      <c r="F30" t="s">
        <v>44</v>
      </c>
      <c r="G30" t="s">
        <v>18</v>
      </c>
      <c r="H30">
        <v>1</v>
      </c>
      <c r="I30">
        <v>0</v>
      </c>
      <c r="J30" t="s">
        <v>73</v>
      </c>
      <c r="K30">
        <v>0.2</v>
      </c>
      <c r="L30">
        <v>1.4</v>
      </c>
      <c r="M30">
        <v>45</v>
      </c>
      <c r="N30" s="2"/>
      <c r="Q30" s="1"/>
    </row>
    <row r="31" spans="1:17" x14ac:dyDescent="0.25">
      <c r="A31" s="1">
        <v>44545</v>
      </c>
      <c r="B31" t="s">
        <v>162</v>
      </c>
      <c r="C31" t="s">
        <v>76</v>
      </c>
      <c r="D31" t="s">
        <v>126</v>
      </c>
      <c r="E31" t="s">
        <v>92</v>
      </c>
      <c r="F31" t="s">
        <v>44</v>
      </c>
      <c r="G31" t="s">
        <v>4</v>
      </c>
      <c r="H31" t="s">
        <v>256</v>
      </c>
      <c r="I31" t="s">
        <v>257</v>
      </c>
      <c r="J31" t="s">
        <v>258</v>
      </c>
      <c r="M31">
        <v>78</v>
      </c>
      <c r="N31" s="2"/>
      <c r="P31" s="1"/>
    </row>
    <row r="32" spans="1:17" x14ac:dyDescent="0.25">
      <c r="A32" s="1">
        <v>44548</v>
      </c>
      <c r="B32" t="s">
        <v>181</v>
      </c>
      <c r="C32" t="s">
        <v>58</v>
      </c>
      <c r="D32" t="s">
        <v>93</v>
      </c>
      <c r="E32" t="s">
        <v>64</v>
      </c>
      <c r="F32" t="s">
        <v>43</v>
      </c>
      <c r="G32" t="s">
        <v>18</v>
      </c>
      <c r="H32">
        <v>2</v>
      </c>
      <c r="I32">
        <v>1</v>
      </c>
      <c r="J32" t="s">
        <v>65</v>
      </c>
      <c r="K32">
        <v>0.5</v>
      </c>
      <c r="L32">
        <v>1</v>
      </c>
      <c r="M32">
        <v>54</v>
      </c>
      <c r="N32" s="2"/>
      <c r="P32" s="1"/>
    </row>
    <row r="33" spans="1:17" x14ac:dyDescent="0.25">
      <c r="A33" s="1">
        <v>44551</v>
      </c>
      <c r="B33" t="s">
        <v>160</v>
      </c>
      <c r="C33" t="s">
        <v>58</v>
      </c>
      <c r="D33" t="s">
        <v>66</v>
      </c>
      <c r="E33" t="s">
        <v>69</v>
      </c>
      <c r="F33" t="s">
        <v>43</v>
      </c>
      <c r="G33" t="s">
        <v>4</v>
      </c>
      <c r="H33">
        <v>1</v>
      </c>
      <c r="I33">
        <v>1</v>
      </c>
      <c r="J33" t="s">
        <v>13</v>
      </c>
      <c r="K33">
        <v>0.3</v>
      </c>
      <c r="L33">
        <v>1.8</v>
      </c>
      <c r="M33">
        <v>42</v>
      </c>
      <c r="N33" s="2"/>
      <c r="P33" s="1"/>
      <c r="Q33" s="1"/>
    </row>
    <row r="34" spans="1:17" x14ac:dyDescent="0.25">
      <c r="A34" s="1">
        <v>44564</v>
      </c>
      <c r="B34" t="s">
        <v>259</v>
      </c>
      <c r="C34" t="s">
        <v>58</v>
      </c>
      <c r="D34" t="s">
        <v>94</v>
      </c>
      <c r="E34" t="s">
        <v>117</v>
      </c>
      <c r="F34" t="s">
        <v>44</v>
      </c>
      <c r="G34" t="s">
        <v>18</v>
      </c>
      <c r="H34">
        <v>1</v>
      </c>
      <c r="I34">
        <v>0</v>
      </c>
      <c r="J34" t="s">
        <v>125</v>
      </c>
      <c r="K34">
        <v>0.9</v>
      </c>
      <c r="L34">
        <v>0.2</v>
      </c>
      <c r="M34">
        <v>74</v>
      </c>
      <c r="N34" s="2"/>
    </row>
    <row r="35" spans="1:17" x14ac:dyDescent="0.25">
      <c r="A35" s="1">
        <v>44567</v>
      </c>
      <c r="B35" t="s">
        <v>209</v>
      </c>
      <c r="C35" t="s">
        <v>76</v>
      </c>
      <c r="D35" t="s">
        <v>77</v>
      </c>
      <c r="E35" t="s">
        <v>85</v>
      </c>
      <c r="F35" t="s">
        <v>44</v>
      </c>
      <c r="G35" t="s">
        <v>18</v>
      </c>
      <c r="H35">
        <v>2</v>
      </c>
      <c r="I35">
        <v>0</v>
      </c>
      <c r="J35" t="s">
        <v>78</v>
      </c>
      <c r="M35">
        <v>57</v>
      </c>
      <c r="N35" s="2"/>
      <c r="P35" s="1"/>
      <c r="Q35" s="1"/>
    </row>
    <row r="36" spans="1:17" x14ac:dyDescent="0.25">
      <c r="A36" s="1">
        <v>44570</v>
      </c>
      <c r="B36" t="s">
        <v>153</v>
      </c>
      <c r="C36" t="s">
        <v>58</v>
      </c>
      <c r="D36" t="s">
        <v>97</v>
      </c>
      <c r="E36" t="s">
        <v>62</v>
      </c>
      <c r="F36" t="s">
        <v>43</v>
      </c>
      <c r="G36" t="s">
        <v>18</v>
      </c>
      <c r="H36">
        <v>1</v>
      </c>
      <c r="I36">
        <v>0</v>
      </c>
      <c r="J36" t="s">
        <v>12</v>
      </c>
      <c r="K36">
        <v>0.7</v>
      </c>
      <c r="L36">
        <v>0.1</v>
      </c>
      <c r="M36">
        <v>67</v>
      </c>
      <c r="N36" s="2"/>
      <c r="P36" s="1"/>
      <c r="Q36" s="1"/>
    </row>
    <row r="37" spans="1:17" x14ac:dyDescent="0.25">
      <c r="A37" s="1">
        <v>44577</v>
      </c>
      <c r="B37" t="s">
        <v>228</v>
      </c>
      <c r="C37" t="s">
        <v>76</v>
      </c>
      <c r="D37" t="s">
        <v>91</v>
      </c>
      <c r="E37" t="s">
        <v>62</v>
      </c>
      <c r="F37" t="s">
        <v>44</v>
      </c>
      <c r="G37" t="s">
        <v>19</v>
      </c>
      <c r="H37">
        <v>1</v>
      </c>
      <c r="I37">
        <v>2</v>
      </c>
      <c r="J37" t="s">
        <v>11</v>
      </c>
      <c r="M37">
        <v>45</v>
      </c>
      <c r="P37" s="1"/>
    </row>
    <row r="38" spans="1:17" x14ac:dyDescent="0.25">
      <c r="A38" t="s">
        <v>0</v>
      </c>
      <c r="B38" t="s">
        <v>1</v>
      </c>
      <c r="C38" t="s">
        <v>16</v>
      </c>
      <c r="D38" t="s">
        <v>51</v>
      </c>
      <c r="E38" t="s">
        <v>52</v>
      </c>
      <c r="F38" t="s">
        <v>53</v>
      </c>
      <c r="G38" t="s">
        <v>54</v>
      </c>
      <c r="H38" t="s">
        <v>20</v>
      </c>
      <c r="I38" t="s">
        <v>21</v>
      </c>
      <c r="J38" t="s">
        <v>45</v>
      </c>
      <c r="K38" t="s">
        <v>55</v>
      </c>
      <c r="L38" t="s">
        <v>56</v>
      </c>
      <c r="M38" t="s">
        <v>57</v>
      </c>
    </row>
    <row r="39" spans="1:17" x14ac:dyDescent="0.25">
      <c r="A39" s="1">
        <v>44580</v>
      </c>
      <c r="B39" t="s">
        <v>160</v>
      </c>
      <c r="C39" t="s">
        <v>58</v>
      </c>
      <c r="D39" t="s">
        <v>98</v>
      </c>
      <c r="E39" t="s">
        <v>92</v>
      </c>
      <c r="F39" t="s">
        <v>44</v>
      </c>
      <c r="G39" t="s">
        <v>4</v>
      </c>
      <c r="H39">
        <v>1</v>
      </c>
      <c r="I39">
        <v>1</v>
      </c>
      <c r="J39" t="s">
        <v>3</v>
      </c>
      <c r="K39">
        <v>0.9</v>
      </c>
      <c r="L39">
        <v>0.5</v>
      </c>
      <c r="M39">
        <v>67</v>
      </c>
      <c r="N39" s="2"/>
      <c r="P39" s="1"/>
      <c r="Q39" s="1"/>
    </row>
    <row r="40" spans="1:17" x14ac:dyDescent="0.25">
      <c r="A40" s="1">
        <v>44583</v>
      </c>
      <c r="B40" t="s">
        <v>157</v>
      </c>
      <c r="C40" t="s">
        <v>58</v>
      </c>
      <c r="D40" t="s">
        <v>100</v>
      </c>
      <c r="E40" t="s">
        <v>64</v>
      </c>
      <c r="F40" t="s">
        <v>43</v>
      </c>
      <c r="G40" t="s">
        <v>4</v>
      </c>
      <c r="H40">
        <v>2</v>
      </c>
      <c r="I40">
        <v>2</v>
      </c>
      <c r="J40" t="s">
        <v>50</v>
      </c>
      <c r="K40">
        <v>1.1000000000000001</v>
      </c>
      <c r="L40">
        <v>0.7</v>
      </c>
      <c r="M40">
        <v>65</v>
      </c>
      <c r="N40" s="2"/>
      <c r="P40" s="1"/>
    </row>
    <row r="41" spans="1:17" x14ac:dyDescent="0.25">
      <c r="A41" s="1">
        <v>44597</v>
      </c>
      <c r="B41" t="s">
        <v>181</v>
      </c>
      <c r="C41" t="s">
        <v>58</v>
      </c>
      <c r="D41" t="s">
        <v>101</v>
      </c>
      <c r="E41" t="s">
        <v>64</v>
      </c>
      <c r="F41" t="s">
        <v>44</v>
      </c>
      <c r="G41" t="s">
        <v>4</v>
      </c>
      <c r="H41">
        <v>0</v>
      </c>
      <c r="I41">
        <v>0</v>
      </c>
      <c r="J41" t="s">
        <v>9</v>
      </c>
      <c r="K41">
        <v>1.3</v>
      </c>
      <c r="L41">
        <v>0.4</v>
      </c>
      <c r="M41">
        <v>73</v>
      </c>
      <c r="N41" s="2"/>
      <c r="P41" s="1"/>
    </row>
    <row r="42" spans="1:17" x14ac:dyDescent="0.25">
      <c r="A42" s="1">
        <v>44603</v>
      </c>
      <c r="B42" t="s">
        <v>181</v>
      </c>
      <c r="C42" t="s">
        <v>58</v>
      </c>
      <c r="D42" t="s">
        <v>102</v>
      </c>
      <c r="E42" t="s">
        <v>60</v>
      </c>
      <c r="F42" t="s">
        <v>43</v>
      </c>
      <c r="G42" t="s">
        <v>18</v>
      </c>
      <c r="H42">
        <v>2</v>
      </c>
      <c r="I42">
        <v>0</v>
      </c>
      <c r="J42" t="s">
        <v>123</v>
      </c>
      <c r="K42">
        <v>0.8</v>
      </c>
      <c r="L42">
        <v>0.3</v>
      </c>
      <c r="M42">
        <v>57</v>
      </c>
      <c r="N42" s="2"/>
      <c r="P42" s="1"/>
      <c r="Q42" s="1"/>
    </row>
    <row r="43" spans="1:17" x14ac:dyDescent="0.25">
      <c r="A43" s="1">
        <v>44609</v>
      </c>
      <c r="B43" t="s">
        <v>181</v>
      </c>
      <c r="C43" t="s">
        <v>193</v>
      </c>
      <c r="D43" t="s">
        <v>260</v>
      </c>
      <c r="E43" t="s">
        <v>85</v>
      </c>
      <c r="F43" t="s">
        <v>43</v>
      </c>
      <c r="G43" t="s">
        <v>18</v>
      </c>
      <c r="H43">
        <v>3</v>
      </c>
      <c r="I43">
        <v>1</v>
      </c>
      <c r="J43" t="s">
        <v>261</v>
      </c>
      <c r="K43">
        <v>1.8</v>
      </c>
      <c r="L43">
        <v>1.5</v>
      </c>
      <c r="M43">
        <v>62</v>
      </c>
      <c r="N43" s="2"/>
      <c r="Q43" s="1"/>
    </row>
    <row r="44" spans="1:17" x14ac:dyDescent="0.25">
      <c r="A44" s="1">
        <v>44612</v>
      </c>
      <c r="B44" t="s">
        <v>212</v>
      </c>
      <c r="C44" t="s">
        <v>58</v>
      </c>
      <c r="D44" t="s">
        <v>103</v>
      </c>
      <c r="E44" t="s">
        <v>62</v>
      </c>
      <c r="F44" t="s">
        <v>44</v>
      </c>
      <c r="G44" t="s">
        <v>4</v>
      </c>
      <c r="H44">
        <v>1</v>
      </c>
      <c r="I44">
        <v>1</v>
      </c>
      <c r="J44" t="s">
        <v>48</v>
      </c>
      <c r="K44">
        <v>0.5</v>
      </c>
      <c r="L44">
        <v>1.5</v>
      </c>
      <c r="M44">
        <v>57</v>
      </c>
      <c r="N44" s="2"/>
      <c r="P44" s="1"/>
    </row>
    <row r="45" spans="1:17" x14ac:dyDescent="0.25">
      <c r="A45" s="1">
        <v>44616</v>
      </c>
      <c r="B45" t="s">
        <v>251</v>
      </c>
      <c r="C45" t="s">
        <v>193</v>
      </c>
      <c r="D45" t="s">
        <v>260</v>
      </c>
      <c r="E45" t="s">
        <v>85</v>
      </c>
      <c r="F45" t="s">
        <v>44</v>
      </c>
      <c r="G45" t="s">
        <v>19</v>
      </c>
      <c r="H45">
        <v>0</v>
      </c>
      <c r="I45">
        <v>1</v>
      </c>
      <c r="J45" t="s">
        <v>261</v>
      </c>
      <c r="K45">
        <v>0.9</v>
      </c>
      <c r="L45">
        <v>1.1000000000000001</v>
      </c>
      <c r="M45">
        <v>58</v>
      </c>
      <c r="N45" s="2"/>
      <c r="P45" s="1"/>
    </row>
    <row r="46" spans="1:17" x14ac:dyDescent="0.25">
      <c r="A46" s="1">
        <v>44619</v>
      </c>
      <c r="B46" t="s">
        <v>153</v>
      </c>
      <c r="C46" t="s">
        <v>58</v>
      </c>
      <c r="D46" t="s">
        <v>104</v>
      </c>
      <c r="E46" t="s">
        <v>62</v>
      </c>
      <c r="F46" t="s">
        <v>43</v>
      </c>
      <c r="G46" t="s">
        <v>18</v>
      </c>
      <c r="H46">
        <v>2</v>
      </c>
      <c r="I46">
        <v>1</v>
      </c>
      <c r="J46" t="s">
        <v>11</v>
      </c>
      <c r="K46">
        <v>1.4</v>
      </c>
      <c r="L46">
        <v>0.7</v>
      </c>
      <c r="M46">
        <v>46</v>
      </c>
      <c r="N46" s="2"/>
      <c r="P46" s="1"/>
    </row>
    <row r="47" spans="1:17" x14ac:dyDescent="0.25">
      <c r="A47" s="1">
        <v>44624</v>
      </c>
      <c r="B47" t="s">
        <v>181</v>
      </c>
      <c r="C47" t="s">
        <v>58</v>
      </c>
      <c r="D47" t="s">
        <v>105</v>
      </c>
      <c r="E47" t="s">
        <v>60</v>
      </c>
      <c r="F47" t="s">
        <v>44</v>
      </c>
      <c r="G47" t="s">
        <v>4</v>
      </c>
      <c r="H47">
        <v>0</v>
      </c>
      <c r="I47">
        <v>0</v>
      </c>
      <c r="J47" t="s">
        <v>80</v>
      </c>
      <c r="K47">
        <v>1.2</v>
      </c>
      <c r="L47">
        <v>1.4</v>
      </c>
      <c r="M47">
        <v>65</v>
      </c>
      <c r="N47" s="2"/>
      <c r="P47" s="1"/>
    </row>
    <row r="48" spans="1:17" x14ac:dyDescent="0.25">
      <c r="A48" s="1">
        <v>44630</v>
      </c>
      <c r="B48" t="s">
        <v>251</v>
      </c>
      <c r="C48" t="s">
        <v>193</v>
      </c>
      <c r="D48" t="s">
        <v>91</v>
      </c>
      <c r="E48" t="s">
        <v>85</v>
      </c>
      <c r="F48" t="s">
        <v>43</v>
      </c>
      <c r="G48" t="s">
        <v>18</v>
      </c>
      <c r="H48">
        <v>1</v>
      </c>
      <c r="I48">
        <v>0</v>
      </c>
      <c r="J48" t="s">
        <v>262</v>
      </c>
      <c r="K48">
        <v>1.4</v>
      </c>
      <c r="L48">
        <v>1.1000000000000001</v>
      </c>
      <c r="M48">
        <v>56</v>
      </c>
      <c r="N48" s="2"/>
      <c r="Q48" s="1"/>
    </row>
    <row r="49" spans="1:17" x14ac:dyDescent="0.25">
      <c r="A49" s="1">
        <v>44633</v>
      </c>
      <c r="B49" t="s">
        <v>263</v>
      </c>
      <c r="C49" t="s">
        <v>58</v>
      </c>
      <c r="D49" t="s">
        <v>106</v>
      </c>
      <c r="E49" t="s">
        <v>62</v>
      </c>
      <c r="F49" t="s">
        <v>44</v>
      </c>
      <c r="G49" t="s">
        <v>4</v>
      </c>
      <c r="H49">
        <v>1</v>
      </c>
      <c r="I49">
        <v>1</v>
      </c>
      <c r="J49" t="s">
        <v>46</v>
      </c>
      <c r="K49">
        <v>0.3</v>
      </c>
      <c r="L49">
        <v>0.4</v>
      </c>
      <c r="M49">
        <v>56</v>
      </c>
      <c r="N49" s="2"/>
    </row>
    <row r="50" spans="1:17" x14ac:dyDescent="0.25">
      <c r="A50" s="1">
        <v>44637</v>
      </c>
      <c r="B50" t="s">
        <v>264</v>
      </c>
      <c r="C50" t="s">
        <v>193</v>
      </c>
      <c r="D50" t="s">
        <v>91</v>
      </c>
      <c r="E50" t="s">
        <v>85</v>
      </c>
      <c r="F50" t="s">
        <v>44</v>
      </c>
      <c r="G50" t="s">
        <v>19</v>
      </c>
      <c r="H50">
        <v>0</v>
      </c>
      <c r="I50">
        <v>2</v>
      </c>
      <c r="J50" t="s">
        <v>262</v>
      </c>
      <c r="K50">
        <v>1.1000000000000001</v>
      </c>
      <c r="L50">
        <v>2.4</v>
      </c>
      <c r="M50">
        <v>55</v>
      </c>
      <c r="N50" s="2"/>
      <c r="P50" s="1"/>
      <c r="Q50" s="1"/>
    </row>
    <row r="51" spans="1:17" x14ac:dyDescent="0.25">
      <c r="A51" s="1">
        <v>44640</v>
      </c>
      <c r="B51" t="s">
        <v>211</v>
      </c>
      <c r="C51" t="s">
        <v>58</v>
      </c>
      <c r="D51" t="s">
        <v>107</v>
      </c>
      <c r="E51" t="s">
        <v>62</v>
      </c>
      <c r="F51" t="s">
        <v>43</v>
      </c>
      <c r="G51" t="s">
        <v>4</v>
      </c>
      <c r="H51">
        <v>0</v>
      </c>
      <c r="I51">
        <v>0</v>
      </c>
      <c r="J51" t="s">
        <v>49</v>
      </c>
      <c r="K51">
        <v>0.3</v>
      </c>
      <c r="L51">
        <v>1.1000000000000001</v>
      </c>
      <c r="M51">
        <v>60</v>
      </c>
      <c r="N51" s="2"/>
      <c r="Q51" s="1"/>
    </row>
    <row r="52" spans="1:17" x14ac:dyDescent="0.25">
      <c r="A52" s="1">
        <v>44654</v>
      </c>
      <c r="B52" t="s">
        <v>181</v>
      </c>
      <c r="C52" t="s">
        <v>58</v>
      </c>
      <c r="D52" t="s">
        <v>108</v>
      </c>
      <c r="E52" t="s">
        <v>62</v>
      </c>
      <c r="F52" t="s">
        <v>44</v>
      </c>
      <c r="G52" t="s">
        <v>19</v>
      </c>
      <c r="H52">
        <v>0</v>
      </c>
      <c r="I52">
        <v>1</v>
      </c>
      <c r="J52" t="s">
        <v>13</v>
      </c>
      <c r="K52">
        <v>0.6</v>
      </c>
      <c r="L52">
        <v>1.9</v>
      </c>
      <c r="M52">
        <v>45</v>
      </c>
      <c r="N52" s="2"/>
      <c r="Q52" s="1"/>
    </row>
    <row r="53" spans="1:17" x14ac:dyDescent="0.25">
      <c r="A53" s="1">
        <v>44659</v>
      </c>
      <c r="B53" t="s">
        <v>181</v>
      </c>
      <c r="C53" t="s">
        <v>58</v>
      </c>
      <c r="D53" t="s">
        <v>109</v>
      </c>
      <c r="E53" t="s">
        <v>60</v>
      </c>
      <c r="F53" t="s">
        <v>43</v>
      </c>
      <c r="G53" t="s">
        <v>18</v>
      </c>
      <c r="H53">
        <v>4</v>
      </c>
      <c r="I53">
        <v>2</v>
      </c>
      <c r="J53" t="s">
        <v>14</v>
      </c>
      <c r="K53">
        <v>2.9</v>
      </c>
      <c r="L53">
        <v>0.9</v>
      </c>
      <c r="M53">
        <v>72</v>
      </c>
      <c r="N53" s="2"/>
      <c r="Q53" s="1"/>
    </row>
    <row r="54" spans="1:17" x14ac:dyDescent="0.25">
      <c r="A54" s="1">
        <v>44668</v>
      </c>
      <c r="B54" t="s">
        <v>181</v>
      </c>
      <c r="C54" t="s">
        <v>58</v>
      </c>
      <c r="D54" t="s">
        <v>110</v>
      </c>
      <c r="E54" t="s">
        <v>62</v>
      </c>
      <c r="F54" t="s">
        <v>43</v>
      </c>
      <c r="G54" t="s">
        <v>19</v>
      </c>
      <c r="H54">
        <v>2</v>
      </c>
      <c r="I54">
        <v>3</v>
      </c>
      <c r="J54" t="s">
        <v>8</v>
      </c>
      <c r="K54">
        <v>0.9</v>
      </c>
      <c r="L54">
        <v>1.2</v>
      </c>
      <c r="M54">
        <v>40</v>
      </c>
      <c r="N54" s="2"/>
      <c r="Q54" s="1"/>
    </row>
    <row r="55" spans="1:17" x14ac:dyDescent="0.25">
      <c r="A55" s="1">
        <v>44672</v>
      </c>
      <c r="B55" t="s">
        <v>162</v>
      </c>
      <c r="C55" t="s">
        <v>58</v>
      </c>
      <c r="D55" t="s">
        <v>111</v>
      </c>
      <c r="E55" t="s">
        <v>85</v>
      </c>
      <c r="F55" t="s">
        <v>44</v>
      </c>
      <c r="G55" t="s">
        <v>18</v>
      </c>
      <c r="H55">
        <v>3</v>
      </c>
      <c r="I55">
        <v>2</v>
      </c>
      <c r="J55" t="s">
        <v>67</v>
      </c>
      <c r="K55">
        <v>1.8</v>
      </c>
      <c r="L55">
        <v>2.7</v>
      </c>
      <c r="M55">
        <v>55</v>
      </c>
      <c r="N55" s="2"/>
      <c r="Q55" s="1"/>
    </row>
    <row r="56" spans="1:17" x14ac:dyDescent="0.25">
      <c r="A56" s="1">
        <v>44680</v>
      </c>
      <c r="B56" t="s">
        <v>181</v>
      </c>
      <c r="C56" t="s">
        <v>58</v>
      </c>
      <c r="D56" t="s">
        <v>112</v>
      </c>
      <c r="E56" t="s">
        <v>60</v>
      </c>
      <c r="F56" t="s">
        <v>43</v>
      </c>
      <c r="G56" t="s">
        <v>4</v>
      </c>
      <c r="H56">
        <v>1</v>
      </c>
      <c r="I56">
        <v>1</v>
      </c>
      <c r="J56" t="s">
        <v>125</v>
      </c>
      <c r="K56">
        <v>0.7</v>
      </c>
      <c r="L56">
        <v>0.9</v>
      </c>
      <c r="M56">
        <v>58</v>
      </c>
      <c r="N56" s="2"/>
    </row>
    <row r="57" spans="1:17" x14ac:dyDescent="0.25">
      <c r="A57" s="1">
        <v>44689</v>
      </c>
      <c r="B57" t="s">
        <v>153</v>
      </c>
      <c r="C57" t="s">
        <v>58</v>
      </c>
      <c r="D57" t="s">
        <v>113</v>
      </c>
      <c r="E57" t="s">
        <v>62</v>
      </c>
      <c r="F57" t="s">
        <v>44</v>
      </c>
      <c r="G57" t="s">
        <v>4</v>
      </c>
      <c r="H57">
        <v>1</v>
      </c>
      <c r="I57">
        <v>1</v>
      </c>
      <c r="J57" t="s">
        <v>10</v>
      </c>
      <c r="K57">
        <v>0.8</v>
      </c>
      <c r="L57">
        <v>2.2000000000000002</v>
      </c>
      <c r="M57">
        <v>47</v>
      </c>
      <c r="N57" s="2"/>
      <c r="P57" s="1"/>
    </row>
    <row r="58" spans="1:17" x14ac:dyDescent="0.25">
      <c r="A58" s="1">
        <v>44692</v>
      </c>
      <c r="B58" t="s">
        <v>158</v>
      </c>
      <c r="C58" t="s">
        <v>58</v>
      </c>
      <c r="D58" t="s">
        <v>114</v>
      </c>
      <c r="E58" t="s">
        <v>92</v>
      </c>
      <c r="F58" t="s">
        <v>43</v>
      </c>
      <c r="G58" t="s">
        <v>4</v>
      </c>
      <c r="H58">
        <v>0</v>
      </c>
      <c r="I58">
        <v>0</v>
      </c>
      <c r="J58" t="s">
        <v>7</v>
      </c>
      <c r="K58">
        <v>1.5</v>
      </c>
      <c r="L58">
        <v>0.6</v>
      </c>
      <c r="M58">
        <v>72</v>
      </c>
      <c r="N58" s="2"/>
      <c r="P58" s="1"/>
      <c r="Q58" s="1"/>
    </row>
    <row r="59" spans="1:17" x14ac:dyDescent="0.25">
      <c r="A59" s="1">
        <v>44696</v>
      </c>
      <c r="B59" t="s">
        <v>166</v>
      </c>
      <c r="C59" t="s">
        <v>58</v>
      </c>
      <c r="D59" t="s">
        <v>115</v>
      </c>
      <c r="E59" t="s">
        <v>62</v>
      </c>
      <c r="F59" t="s">
        <v>44</v>
      </c>
      <c r="G59" t="s">
        <v>4</v>
      </c>
      <c r="H59">
        <v>1</v>
      </c>
      <c r="I59">
        <v>1</v>
      </c>
      <c r="J59" t="s">
        <v>65</v>
      </c>
      <c r="K59">
        <v>0.7</v>
      </c>
      <c r="L59">
        <v>1.2</v>
      </c>
      <c r="M59">
        <v>59</v>
      </c>
      <c r="N59" s="2"/>
      <c r="P59" s="1"/>
    </row>
    <row r="60" spans="1:17" x14ac:dyDescent="0.25">
      <c r="A60" s="1">
        <v>44703</v>
      </c>
      <c r="B60" t="s">
        <v>176</v>
      </c>
      <c r="C60" t="s">
        <v>58</v>
      </c>
      <c r="D60" t="s">
        <v>116</v>
      </c>
      <c r="E60" t="s">
        <v>62</v>
      </c>
      <c r="F60" t="s">
        <v>43</v>
      </c>
      <c r="G60" t="s">
        <v>18</v>
      </c>
      <c r="H60">
        <v>1</v>
      </c>
      <c r="I60">
        <v>0</v>
      </c>
      <c r="J60" t="s">
        <v>73</v>
      </c>
      <c r="K60">
        <v>1.2</v>
      </c>
      <c r="L60">
        <v>0.7</v>
      </c>
      <c r="M60">
        <v>66</v>
      </c>
      <c r="N60" s="2"/>
      <c r="P60" s="1"/>
      <c r="Q60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4CAA-F0FD-46E8-9E5E-A9EE722C92B2}">
  <dimension ref="A1:Q68"/>
  <sheetViews>
    <sheetView workbookViewId="0">
      <selection activeCell="U22" sqref="U22"/>
    </sheetView>
  </sheetViews>
  <sheetFormatPr defaultRowHeight="15" x14ac:dyDescent="0.25"/>
  <cols>
    <col min="1" max="1" width="9.5703125" customWidth="1"/>
  </cols>
  <sheetData>
    <row r="1" spans="1:17" x14ac:dyDescent="0.25">
      <c r="A1" t="s">
        <v>265</v>
      </c>
    </row>
    <row r="2" spans="1:17" x14ac:dyDescent="0.25">
      <c r="A2" t="s">
        <v>266</v>
      </c>
    </row>
    <row r="3" spans="1:17" x14ac:dyDescent="0.25">
      <c r="A3" t="s">
        <v>267</v>
      </c>
    </row>
    <row r="4" spans="1:17" x14ac:dyDescent="0.25">
      <c r="A4" t="s">
        <v>268</v>
      </c>
    </row>
    <row r="7" spans="1:17" x14ac:dyDescent="0.25">
      <c r="A7" t="s">
        <v>0</v>
      </c>
      <c r="B7" t="s">
        <v>1</v>
      </c>
      <c r="C7" t="s">
        <v>16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 t="s">
        <v>45</v>
      </c>
      <c r="K7" t="s">
        <v>55</v>
      </c>
      <c r="L7" t="s">
        <v>56</v>
      </c>
      <c r="M7" t="s">
        <v>57</v>
      </c>
      <c r="N7" t="s">
        <v>24</v>
      </c>
    </row>
    <row r="8" spans="1:17" x14ac:dyDescent="0.25">
      <c r="A8" s="1">
        <v>44785</v>
      </c>
      <c r="B8" t="s">
        <v>181</v>
      </c>
      <c r="C8" t="s">
        <v>58</v>
      </c>
      <c r="D8" t="s">
        <v>59</v>
      </c>
      <c r="E8" t="s">
        <v>60</v>
      </c>
      <c r="F8" t="s">
        <v>44</v>
      </c>
      <c r="G8" t="s">
        <v>19</v>
      </c>
      <c r="H8">
        <v>1</v>
      </c>
      <c r="I8">
        <v>2</v>
      </c>
      <c r="J8" t="s">
        <v>9</v>
      </c>
      <c r="K8">
        <v>0.9</v>
      </c>
      <c r="L8">
        <v>1.5</v>
      </c>
      <c r="M8">
        <v>65</v>
      </c>
      <c r="N8" s="2">
        <v>18536</v>
      </c>
      <c r="Q8" s="1"/>
    </row>
    <row r="9" spans="1:17" x14ac:dyDescent="0.25">
      <c r="A9" s="1">
        <v>44792</v>
      </c>
      <c r="B9" t="s">
        <v>176</v>
      </c>
      <c r="C9" t="s">
        <v>58</v>
      </c>
      <c r="D9" t="s">
        <v>61</v>
      </c>
      <c r="E9" t="s">
        <v>60</v>
      </c>
      <c r="F9" t="s">
        <v>43</v>
      </c>
      <c r="G9" t="s">
        <v>4</v>
      </c>
      <c r="H9">
        <v>1</v>
      </c>
      <c r="I9">
        <v>1</v>
      </c>
      <c r="J9" t="s">
        <v>47</v>
      </c>
      <c r="K9">
        <v>2</v>
      </c>
      <c r="L9">
        <v>0.5</v>
      </c>
      <c r="M9">
        <v>61</v>
      </c>
      <c r="N9" s="2">
        <v>33991</v>
      </c>
      <c r="P9" s="1"/>
      <c r="Q9" s="1"/>
    </row>
    <row r="10" spans="1:17" x14ac:dyDescent="0.25">
      <c r="A10" s="1">
        <v>44800</v>
      </c>
      <c r="B10" t="s">
        <v>176</v>
      </c>
      <c r="C10" t="s">
        <v>58</v>
      </c>
      <c r="D10" t="s">
        <v>63</v>
      </c>
      <c r="E10" t="s">
        <v>64</v>
      </c>
      <c r="F10" t="s">
        <v>44</v>
      </c>
      <c r="G10" t="s">
        <v>19</v>
      </c>
      <c r="H10">
        <v>1</v>
      </c>
      <c r="I10">
        <v>2</v>
      </c>
      <c r="J10" t="s">
        <v>128</v>
      </c>
      <c r="K10">
        <v>1</v>
      </c>
      <c r="L10">
        <v>2.2999999999999998</v>
      </c>
      <c r="M10">
        <v>67</v>
      </c>
      <c r="N10" s="2">
        <v>13788</v>
      </c>
    </row>
    <row r="11" spans="1:17" x14ac:dyDescent="0.25">
      <c r="A11" s="1">
        <v>44807</v>
      </c>
      <c r="B11" t="s">
        <v>181</v>
      </c>
      <c r="C11" t="s">
        <v>58</v>
      </c>
      <c r="D11" t="s">
        <v>66</v>
      </c>
      <c r="E11" t="s">
        <v>64</v>
      </c>
      <c r="F11" t="s">
        <v>43</v>
      </c>
      <c r="G11" t="s">
        <v>19</v>
      </c>
      <c r="H11">
        <v>0</v>
      </c>
      <c r="I11">
        <v>3</v>
      </c>
      <c r="J11" t="s">
        <v>13</v>
      </c>
      <c r="K11">
        <v>1</v>
      </c>
      <c r="L11">
        <v>4</v>
      </c>
      <c r="M11">
        <v>46</v>
      </c>
      <c r="N11" s="2">
        <v>40233</v>
      </c>
      <c r="P11" s="1"/>
      <c r="Q11" s="1"/>
    </row>
    <row r="12" spans="1:17" x14ac:dyDescent="0.25">
      <c r="A12" s="1">
        <v>44810</v>
      </c>
      <c r="B12" t="s">
        <v>181</v>
      </c>
      <c r="C12" t="s">
        <v>118</v>
      </c>
      <c r="D12" t="s">
        <v>119</v>
      </c>
      <c r="E12" t="s">
        <v>69</v>
      </c>
      <c r="F12" t="s">
        <v>43</v>
      </c>
      <c r="G12" t="s">
        <v>19</v>
      </c>
      <c r="H12">
        <v>0</v>
      </c>
      <c r="I12">
        <v>4</v>
      </c>
      <c r="J12" t="s">
        <v>269</v>
      </c>
      <c r="K12">
        <v>0.3</v>
      </c>
      <c r="L12">
        <v>3.6</v>
      </c>
      <c r="M12">
        <v>39</v>
      </c>
      <c r="N12" s="2">
        <v>38764</v>
      </c>
      <c r="Q12" s="1"/>
    </row>
    <row r="13" spans="1:17" x14ac:dyDescent="0.25">
      <c r="A13" s="1">
        <v>44814</v>
      </c>
      <c r="B13" t="s">
        <v>153</v>
      </c>
      <c r="C13" t="s">
        <v>58</v>
      </c>
      <c r="D13" t="s">
        <v>68</v>
      </c>
      <c r="E13" t="s">
        <v>64</v>
      </c>
      <c r="F13" t="s">
        <v>44</v>
      </c>
      <c r="G13" t="s">
        <v>18</v>
      </c>
      <c r="H13">
        <v>3</v>
      </c>
      <c r="I13">
        <v>2</v>
      </c>
      <c r="J13" t="s">
        <v>48</v>
      </c>
      <c r="K13">
        <v>2</v>
      </c>
      <c r="L13">
        <v>2.5</v>
      </c>
      <c r="M13">
        <v>42</v>
      </c>
      <c r="N13" s="2">
        <v>20135</v>
      </c>
    </row>
    <row r="14" spans="1:17" x14ac:dyDescent="0.25">
      <c r="A14" s="1">
        <v>44818</v>
      </c>
      <c r="B14" t="s">
        <v>181</v>
      </c>
      <c r="C14" t="s">
        <v>118</v>
      </c>
      <c r="D14" t="s">
        <v>119</v>
      </c>
      <c r="E14" t="s">
        <v>92</v>
      </c>
      <c r="F14" t="s">
        <v>44</v>
      </c>
      <c r="G14" t="s">
        <v>4</v>
      </c>
      <c r="H14">
        <v>0</v>
      </c>
      <c r="I14">
        <v>0</v>
      </c>
      <c r="J14" t="s">
        <v>270</v>
      </c>
      <c r="K14">
        <v>0.8</v>
      </c>
      <c r="L14">
        <v>0.7</v>
      </c>
      <c r="M14">
        <v>63</v>
      </c>
      <c r="N14" s="2">
        <v>34910</v>
      </c>
      <c r="P14" s="1"/>
      <c r="Q14" s="1"/>
    </row>
    <row r="15" spans="1:17" x14ac:dyDescent="0.25">
      <c r="A15" s="1">
        <v>44822</v>
      </c>
      <c r="B15" t="s">
        <v>153</v>
      </c>
      <c r="C15" t="s">
        <v>58</v>
      </c>
      <c r="D15" t="s">
        <v>71</v>
      </c>
      <c r="E15" t="s">
        <v>62</v>
      </c>
      <c r="F15" t="s">
        <v>44</v>
      </c>
      <c r="G15" t="s">
        <v>4</v>
      </c>
      <c r="H15">
        <v>1</v>
      </c>
      <c r="I15">
        <v>1</v>
      </c>
      <c r="J15" t="s">
        <v>10</v>
      </c>
      <c r="K15">
        <v>0.6</v>
      </c>
      <c r="L15">
        <v>1.5</v>
      </c>
      <c r="M15">
        <v>54</v>
      </c>
      <c r="N15" s="2">
        <v>18292</v>
      </c>
      <c r="Q15" s="1"/>
    </row>
    <row r="16" spans="1:17" x14ac:dyDescent="0.25">
      <c r="A16" s="1">
        <v>44835</v>
      </c>
      <c r="B16" t="s">
        <v>157</v>
      </c>
      <c r="C16" t="s">
        <v>58</v>
      </c>
      <c r="D16" t="s">
        <v>72</v>
      </c>
      <c r="E16" t="s">
        <v>64</v>
      </c>
      <c r="F16" t="s">
        <v>43</v>
      </c>
      <c r="G16" t="s">
        <v>19</v>
      </c>
      <c r="H16">
        <v>0</v>
      </c>
      <c r="I16">
        <v>2</v>
      </c>
      <c r="J16" t="s">
        <v>65</v>
      </c>
      <c r="K16">
        <v>0.5</v>
      </c>
      <c r="L16">
        <v>2.2000000000000002</v>
      </c>
      <c r="M16">
        <v>60</v>
      </c>
      <c r="N16" s="2">
        <v>37754</v>
      </c>
    </row>
    <row r="17" spans="1:17" x14ac:dyDescent="0.25">
      <c r="A17" s="1">
        <v>44839</v>
      </c>
      <c r="B17" t="s">
        <v>181</v>
      </c>
      <c r="C17" t="s">
        <v>118</v>
      </c>
      <c r="D17" t="s">
        <v>119</v>
      </c>
      <c r="E17" t="s">
        <v>92</v>
      </c>
      <c r="F17" t="s">
        <v>43</v>
      </c>
      <c r="G17" t="s">
        <v>19</v>
      </c>
      <c r="H17">
        <v>1</v>
      </c>
      <c r="I17">
        <v>4</v>
      </c>
      <c r="J17" t="s">
        <v>246</v>
      </c>
      <c r="K17">
        <v>2</v>
      </c>
      <c r="L17">
        <v>2.5</v>
      </c>
      <c r="M17">
        <v>58</v>
      </c>
      <c r="N17" s="2">
        <v>34598</v>
      </c>
      <c r="P17" s="1"/>
    </row>
    <row r="18" spans="1:17" x14ac:dyDescent="0.25">
      <c r="A18" s="1">
        <v>44842</v>
      </c>
      <c r="B18" t="s">
        <v>157</v>
      </c>
      <c r="C18" t="s">
        <v>58</v>
      </c>
      <c r="D18" t="s">
        <v>74</v>
      </c>
      <c r="E18" t="s">
        <v>64</v>
      </c>
      <c r="F18" t="s">
        <v>43</v>
      </c>
      <c r="G18" t="s">
        <v>4</v>
      </c>
      <c r="H18">
        <v>1</v>
      </c>
      <c r="I18">
        <v>1</v>
      </c>
      <c r="J18" t="s">
        <v>73</v>
      </c>
      <c r="K18">
        <v>1</v>
      </c>
      <c r="L18">
        <v>1.7</v>
      </c>
      <c r="M18">
        <v>45</v>
      </c>
      <c r="N18" s="2">
        <v>36502</v>
      </c>
    </row>
    <row r="19" spans="1:17" x14ac:dyDescent="0.25">
      <c r="A19" s="1">
        <v>44845</v>
      </c>
      <c r="B19" t="s">
        <v>181</v>
      </c>
      <c r="C19" t="s">
        <v>118</v>
      </c>
      <c r="D19" t="s">
        <v>119</v>
      </c>
      <c r="E19" t="s">
        <v>69</v>
      </c>
      <c r="F19" t="s">
        <v>44</v>
      </c>
      <c r="G19" t="s">
        <v>4</v>
      </c>
      <c r="H19">
        <v>1</v>
      </c>
      <c r="I19">
        <v>1</v>
      </c>
      <c r="J19" t="s">
        <v>246</v>
      </c>
      <c r="K19">
        <v>0.8</v>
      </c>
      <c r="L19">
        <v>0.4</v>
      </c>
      <c r="M19">
        <v>48</v>
      </c>
      <c r="N19" s="2">
        <v>81000</v>
      </c>
      <c r="P19" s="1"/>
    </row>
    <row r="20" spans="1:17" x14ac:dyDescent="0.25">
      <c r="A20" s="1">
        <v>44849</v>
      </c>
      <c r="B20" t="s">
        <v>157</v>
      </c>
      <c r="C20" t="s">
        <v>58</v>
      </c>
      <c r="D20" t="s">
        <v>75</v>
      </c>
      <c r="E20" t="s">
        <v>64</v>
      </c>
      <c r="F20" t="s">
        <v>44</v>
      </c>
      <c r="G20" t="s">
        <v>18</v>
      </c>
      <c r="H20">
        <v>1</v>
      </c>
      <c r="I20">
        <v>0</v>
      </c>
      <c r="J20" t="s">
        <v>7</v>
      </c>
      <c r="K20">
        <v>0.2</v>
      </c>
      <c r="L20">
        <v>0.7</v>
      </c>
      <c r="M20">
        <v>56</v>
      </c>
      <c r="N20" s="2">
        <v>15300</v>
      </c>
      <c r="P20" s="1"/>
      <c r="Q20" s="1"/>
    </row>
    <row r="21" spans="1:17" x14ac:dyDescent="0.25">
      <c r="A21" s="1">
        <v>44852</v>
      </c>
      <c r="B21" t="s">
        <v>162</v>
      </c>
      <c r="C21" t="s">
        <v>58</v>
      </c>
      <c r="D21" t="s">
        <v>79</v>
      </c>
      <c r="E21" t="s">
        <v>69</v>
      </c>
      <c r="F21" t="s">
        <v>43</v>
      </c>
      <c r="G21" t="s">
        <v>4</v>
      </c>
      <c r="H21">
        <v>1</v>
      </c>
      <c r="I21">
        <v>1</v>
      </c>
      <c r="J21" t="s">
        <v>3</v>
      </c>
      <c r="K21">
        <v>1.1000000000000001</v>
      </c>
      <c r="L21">
        <v>1.8</v>
      </c>
      <c r="M21">
        <v>64</v>
      </c>
      <c r="N21" s="2">
        <v>37353</v>
      </c>
      <c r="P21" s="1"/>
      <c r="Q21" s="1"/>
    </row>
    <row r="22" spans="1:17" x14ac:dyDescent="0.25">
      <c r="A22" s="1">
        <v>44856</v>
      </c>
      <c r="B22" t="s">
        <v>181</v>
      </c>
      <c r="C22" t="s">
        <v>58</v>
      </c>
      <c r="D22" t="s">
        <v>81</v>
      </c>
      <c r="E22" t="s">
        <v>64</v>
      </c>
      <c r="F22" t="s">
        <v>44</v>
      </c>
      <c r="G22" t="s">
        <v>19</v>
      </c>
      <c r="H22">
        <v>1</v>
      </c>
      <c r="I22">
        <v>3</v>
      </c>
      <c r="J22" t="s">
        <v>8</v>
      </c>
      <c r="K22">
        <v>0.5</v>
      </c>
      <c r="L22">
        <v>3</v>
      </c>
      <c r="M22">
        <v>44</v>
      </c>
      <c r="N22" s="2">
        <v>59625</v>
      </c>
      <c r="P22" s="1"/>
      <c r="Q22" s="1"/>
    </row>
    <row r="23" spans="1:17" x14ac:dyDescent="0.25">
      <c r="A23" s="1">
        <v>44859</v>
      </c>
      <c r="B23" t="s">
        <v>251</v>
      </c>
      <c r="C23" t="s">
        <v>118</v>
      </c>
      <c r="D23" t="s">
        <v>119</v>
      </c>
      <c r="E23" t="s">
        <v>69</v>
      </c>
      <c r="F23" t="s">
        <v>43</v>
      </c>
      <c r="G23" t="s">
        <v>18</v>
      </c>
      <c r="H23">
        <v>3</v>
      </c>
      <c r="I23">
        <v>0</v>
      </c>
      <c r="J23" t="s">
        <v>270</v>
      </c>
      <c r="K23">
        <v>1</v>
      </c>
      <c r="L23">
        <v>1.1000000000000001</v>
      </c>
      <c r="M23">
        <v>57</v>
      </c>
      <c r="N23" s="2">
        <v>29884</v>
      </c>
      <c r="P23" s="1"/>
      <c r="Q23" s="1"/>
    </row>
    <row r="24" spans="1:17" x14ac:dyDescent="0.25">
      <c r="A24" s="1">
        <v>44863</v>
      </c>
      <c r="B24" t="s">
        <v>157</v>
      </c>
      <c r="C24" t="s">
        <v>58</v>
      </c>
      <c r="D24" t="s">
        <v>83</v>
      </c>
      <c r="E24" t="s">
        <v>64</v>
      </c>
      <c r="F24" t="s">
        <v>43</v>
      </c>
      <c r="G24" t="s">
        <v>19</v>
      </c>
      <c r="H24">
        <v>0</v>
      </c>
      <c r="I24">
        <v>1</v>
      </c>
      <c r="J24" t="s">
        <v>46</v>
      </c>
      <c r="K24">
        <v>1.2</v>
      </c>
      <c r="L24">
        <v>0.7</v>
      </c>
      <c r="M24">
        <v>62</v>
      </c>
      <c r="N24" s="2">
        <v>36601</v>
      </c>
    </row>
    <row r="25" spans="1:17" x14ac:dyDescent="0.25">
      <c r="A25" s="1">
        <v>44867</v>
      </c>
      <c r="B25" t="s">
        <v>264</v>
      </c>
      <c r="C25" t="s">
        <v>118</v>
      </c>
      <c r="D25" t="s">
        <v>119</v>
      </c>
      <c r="E25" t="s">
        <v>92</v>
      </c>
      <c r="F25" t="s">
        <v>44</v>
      </c>
      <c r="G25" t="s">
        <v>19</v>
      </c>
      <c r="H25">
        <v>1</v>
      </c>
      <c r="I25">
        <v>3</v>
      </c>
      <c r="J25" t="s">
        <v>269</v>
      </c>
      <c r="K25">
        <v>0.4</v>
      </c>
      <c r="L25">
        <v>2</v>
      </c>
      <c r="M25">
        <v>39</v>
      </c>
      <c r="N25" s="2">
        <v>51610</v>
      </c>
      <c r="P25" s="1"/>
      <c r="Q25" s="1"/>
    </row>
    <row r="26" spans="1:17" x14ac:dyDescent="0.25">
      <c r="A26" s="1">
        <v>44871</v>
      </c>
      <c r="B26" t="s">
        <v>181</v>
      </c>
      <c r="C26" t="s">
        <v>58</v>
      </c>
      <c r="D26" t="s">
        <v>84</v>
      </c>
      <c r="E26" t="s">
        <v>62</v>
      </c>
      <c r="F26" t="s">
        <v>44</v>
      </c>
      <c r="G26" t="s">
        <v>4</v>
      </c>
      <c r="H26">
        <v>1</v>
      </c>
      <c r="I26">
        <v>1</v>
      </c>
      <c r="J26" t="s">
        <v>11</v>
      </c>
      <c r="K26">
        <v>1.5</v>
      </c>
      <c r="L26">
        <v>1</v>
      </c>
      <c r="M26">
        <v>63</v>
      </c>
      <c r="N26" s="2">
        <v>54034</v>
      </c>
    </row>
    <row r="27" spans="1:17" x14ac:dyDescent="0.25">
      <c r="A27" s="1">
        <v>44874</v>
      </c>
      <c r="B27" t="s">
        <v>162</v>
      </c>
      <c r="C27" t="s">
        <v>58</v>
      </c>
      <c r="D27" t="s">
        <v>86</v>
      </c>
      <c r="E27" t="s">
        <v>92</v>
      </c>
      <c r="F27" t="s">
        <v>43</v>
      </c>
      <c r="G27" t="s">
        <v>19</v>
      </c>
      <c r="H27">
        <v>1</v>
      </c>
      <c r="I27">
        <v>2</v>
      </c>
      <c r="J27" t="s">
        <v>49</v>
      </c>
      <c r="K27">
        <v>0.6</v>
      </c>
      <c r="L27">
        <v>1.7</v>
      </c>
      <c r="M27">
        <v>32</v>
      </c>
      <c r="N27" s="2">
        <v>34814</v>
      </c>
    </row>
    <row r="28" spans="1:17" x14ac:dyDescent="0.25">
      <c r="A28" s="1">
        <v>44878</v>
      </c>
      <c r="B28" t="s">
        <v>228</v>
      </c>
      <c r="C28" t="s">
        <v>76</v>
      </c>
      <c r="D28" t="s">
        <v>124</v>
      </c>
      <c r="E28" t="s">
        <v>62</v>
      </c>
      <c r="F28" t="s">
        <v>44</v>
      </c>
      <c r="G28" t="s">
        <v>18</v>
      </c>
      <c r="H28">
        <v>2</v>
      </c>
      <c r="I28">
        <v>0</v>
      </c>
      <c r="J28" t="s">
        <v>271</v>
      </c>
      <c r="M28">
        <v>87</v>
      </c>
      <c r="N28" s="2">
        <v>3000</v>
      </c>
      <c r="P28" s="1"/>
      <c r="Q28" s="1"/>
    </row>
    <row r="29" spans="1:17" x14ac:dyDescent="0.25">
      <c r="A29" s="1">
        <v>44916</v>
      </c>
      <c r="B29" t="s">
        <v>181</v>
      </c>
      <c r="C29" t="s">
        <v>76</v>
      </c>
      <c r="D29" t="s">
        <v>126</v>
      </c>
      <c r="E29" t="s">
        <v>92</v>
      </c>
      <c r="F29" t="s">
        <v>44</v>
      </c>
      <c r="G29" t="s">
        <v>18</v>
      </c>
      <c r="H29">
        <v>3</v>
      </c>
      <c r="I29">
        <v>0</v>
      </c>
      <c r="J29" t="s">
        <v>272</v>
      </c>
      <c r="M29">
        <v>60</v>
      </c>
      <c r="N29" s="2">
        <v>2500</v>
      </c>
      <c r="P29" s="1"/>
    </row>
    <row r="30" spans="1:17" x14ac:dyDescent="0.25">
      <c r="A30" s="1">
        <v>44925</v>
      </c>
      <c r="B30" t="s">
        <v>273</v>
      </c>
      <c r="C30" t="s">
        <v>58</v>
      </c>
      <c r="D30" t="s">
        <v>87</v>
      </c>
      <c r="E30" t="s">
        <v>60</v>
      </c>
      <c r="F30" t="s">
        <v>44</v>
      </c>
      <c r="G30" t="s">
        <v>4</v>
      </c>
      <c r="H30">
        <v>1</v>
      </c>
      <c r="I30">
        <v>1</v>
      </c>
      <c r="J30" t="s">
        <v>50</v>
      </c>
      <c r="K30">
        <v>0.7</v>
      </c>
      <c r="L30">
        <v>2</v>
      </c>
      <c r="M30">
        <v>56</v>
      </c>
      <c r="N30" s="2">
        <v>13653</v>
      </c>
      <c r="P30" s="1"/>
      <c r="Q30" s="1"/>
    </row>
    <row r="31" spans="1:17" x14ac:dyDescent="0.25">
      <c r="A31" s="1">
        <v>44930</v>
      </c>
      <c r="B31" t="s">
        <v>162</v>
      </c>
      <c r="C31" t="s">
        <v>76</v>
      </c>
      <c r="D31" t="s">
        <v>77</v>
      </c>
      <c r="E31" t="s">
        <v>92</v>
      </c>
      <c r="F31" t="s">
        <v>44</v>
      </c>
      <c r="G31" t="s">
        <v>18</v>
      </c>
      <c r="H31">
        <v>5</v>
      </c>
      <c r="I31">
        <v>0</v>
      </c>
      <c r="J31" t="s">
        <v>245</v>
      </c>
      <c r="M31">
        <v>63</v>
      </c>
      <c r="N31" s="2">
        <v>9500</v>
      </c>
      <c r="P31" s="1"/>
    </row>
    <row r="32" spans="1:17" x14ac:dyDescent="0.25">
      <c r="A32" s="1">
        <v>44934</v>
      </c>
      <c r="B32" t="s">
        <v>157</v>
      </c>
      <c r="C32" t="s">
        <v>58</v>
      </c>
      <c r="D32" t="s">
        <v>88</v>
      </c>
      <c r="E32" t="s">
        <v>62</v>
      </c>
      <c r="F32" t="s">
        <v>43</v>
      </c>
      <c r="G32" t="s">
        <v>18</v>
      </c>
      <c r="H32">
        <v>2</v>
      </c>
      <c r="I32">
        <v>1</v>
      </c>
      <c r="J32" t="s">
        <v>12</v>
      </c>
      <c r="K32">
        <v>1.2</v>
      </c>
      <c r="L32">
        <v>0.7</v>
      </c>
      <c r="M32">
        <v>58</v>
      </c>
      <c r="N32" s="2">
        <v>35389</v>
      </c>
      <c r="Q32" s="1"/>
    </row>
    <row r="33" spans="1:17" x14ac:dyDescent="0.25">
      <c r="A33" s="1">
        <v>44940</v>
      </c>
      <c r="B33" t="s">
        <v>153</v>
      </c>
      <c r="C33" t="s">
        <v>58</v>
      </c>
      <c r="D33" t="s">
        <v>90</v>
      </c>
      <c r="E33" t="s">
        <v>64</v>
      </c>
      <c r="F33" t="s">
        <v>44</v>
      </c>
      <c r="G33" t="s">
        <v>19</v>
      </c>
      <c r="H33">
        <v>1</v>
      </c>
      <c r="I33">
        <v>2</v>
      </c>
      <c r="J33" t="s">
        <v>5</v>
      </c>
      <c r="K33">
        <v>1.1000000000000001</v>
      </c>
      <c r="L33">
        <v>2.2000000000000002</v>
      </c>
      <c r="M33">
        <v>54</v>
      </c>
      <c r="N33" s="2">
        <v>12035</v>
      </c>
      <c r="P33" s="1"/>
      <c r="Q33" s="1"/>
    </row>
    <row r="34" spans="1:17" x14ac:dyDescent="0.25">
      <c r="A34" s="1">
        <v>44943</v>
      </c>
      <c r="B34" t="s">
        <v>181</v>
      </c>
      <c r="C34" t="s">
        <v>76</v>
      </c>
      <c r="D34" t="s">
        <v>91</v>
      </c>
      <c r="E34" t="s">
        <v>69</v>
      </c>
      <c r="F34" t="s">
        <v>44</v>
      </c>
      <c r="G34" t="s">
        <v>18</v>
      </c>
      <c r="H34">
        <v>1</v>
      </c>
      <c r="I34">
        <v>0</v>
      </c>
      <c r="J34" t="s">
        <v>80</v>
      </c>
      <c r="M34">
        <v>53</v>
      </c>
      <c r="N34" s="2">
        <v>12217</v>
      </c>
      <c r="P34" s="1"/>
      <c r="Q34" s="1"/>
    </row>
    <row r="35" spans="1:17" x14ac:dyDescent="0.25">
      <c r="A35" s="1">
        <v>44947</v>
      </c>
      <c r="B35" t="s">
        <v>181</v>
      </c>
      <c r="C35" t="s">
        <v>58</v>
      </c>
      <c r="D35" t="s">
        <v>93</v>
      </c>
      <c r="E35" t="s">
        <v>64</v>
      </c>
      <c r="F35" t="s">
        <v>43</v>
      </c>
      <c r="G35" t="s">
        <v>18</v>
      </c>
      <c r="H35">
        <v>1</v>
      </c>
      <c r="I35">
        <v>0</v>
      </c>
      <c r="J35" t="s">
        <v>125</v>
      </c>
      <c r="K35">
        <v>1.7</v>
      </c>
      <c r="L35">
        <v>0.1</v>
      </c>
      <c r="M35">
        <v>75</v>
      </c>
      <c r="N35" s="2">
        <v>37400</v>
      </c>
      <c r="P35" s="1"/>
      <c r="Q35" s="1"/>
    </row>
    <row r="36" spans="1:17" x14ac:dyDescent="0.25">
      <c r="A36" s="1">
        <v>44951</v>
      </c>
      <c r="B36" t="s">
        <v>176</v>
      </c>
      <c r="C36" t="s">
        <v>76</v>
      </c>
      <c r="D36" t="s">
        <v>96</v>
      </c>
      <c r="E36" t="s">
        <v>92</v>
      </c>
      <c r="F36" t="s">
        <v>44</v>
      </c>
      <c r="G36" t="s">
        <v>19</v>
      </c>
      <c r="H36">
        <v>1</v>
      </c>
      <c r="I36">
        <v>2</v>
      </c>
      <c r="J36" t="s">
        <v>9</v>
      </c>
      <c r="M36">
        <v>67</v>
      </c>
      <c r="N36" s="2">
        <v>19724</v>
      </c>
      <c r="Q36" s="1"/>
    </row>
    <row r="37" spans="1:17" x14ac:dyDescent="0.25">
      <c r="A37" s="1">
        <v>44954</v>
      </c>
      <c r="B37" t="s">
        <v>157</v>
      </c>
      <c r="C37" t="s">
        <v>58</v>
      </c>
      <c r="D37" t="s">
        <v>94</v>
      </c>
      <c r="E37" t="s">
        <v>64</v>
      </c>
      <c r="F37" t="s">
        <v>43</v>
      </c>
      <c r="G37" t="s">
        <v>18</v>
      </c>
      <c r="H37">
        <v>3</v>
      </c>
      <c r="I37">
        <v>0</v>
      </c>
      <c r="J37" t="s">
        <v>123</v>
      </c>
      <c r="K37">
        <v>3.2</v>
      </c>
      <c r="L37">
        <v>0.4</v>
      </c>
      <c r="M37">
        <v>80</v>
      </c>
      <c r="N37" s="2">
        <v>35567</v>
      </c>
      <c r="P37" s="1"/>
      <c r="Q37" s="1"/>
    </row>
    <row r="38" spans="1:17" x14ac:dyDescent="0.25">
      <c r="A38" t="s">
        <v>0</v>
      </c>
      <c r="B38" t="s">
        <v>1</v>
      </c>
      <c r="C38" t="s">
        <v>16</v>
      </c>
      <c r="D38" t="s">
        <v>51</v>
      </c>
      <c r="E38" t="s">
        <v>52</v>
      </c>
      <c r="F38" t="s">
        <v>53</v>
      </c>
      <c r="G38" t="s">
        <v>54</v>
      </c>
      <c r="H38" t="s">
        <v>20</v>
      </c>
      <c r="I38" t="s">
        <v>21</v>
      </c>
      <c r="J38" t="s">
        <v>45</v>
      </c>
      <c r="K38" t="s">
        <v>55</v>
      </c>
      <c r="L38" t="s">
        <v>56</v>
      </c>
      <c r="M38" t="s">
        <v>57</v>
      </c>
      <c r="N38" t="s">
        <v>24</v>
      </c>
    </row>
    <row r="39" spans="1:17" x14ac:dyDescent="0.25">
      <c r="A39" s="1">
        <v>44962</v>
      </c>
      <c r="B39" t="s">
        <v>181</v>
      </c>
      <c r="C39" t="s">
        <v>58</v>
      </c>
      <c r="D39" t="s">
        <v>97</v>
      </c>
      <c r="E39" t="s">
        <v>62</v>
      </c>
      <c r="F39" t="s">
        <v>44</v>
      </c>
      <c r="G39" t="s">
        <v>19</v>
      </c>
      <c r="H39">
        <v>0</v>
      </c>
      <c r="I39">
        <v>3</v>
      </c>
      <c r="J39" t="s">
        <v>13</v>
      </c>
      <c r="K39">
        <v>0.1</v>
      </c>
      <c r="L39">
        <v>2.7</v>
      </c>
      <c r="M39">
        <v>35</v>
      </c>
      <c r="N39" s="2">
        <v>77987</v>
      </c>
      <c r="P39" s="1"/>
      <c r="Q39" s="1"/>
    </row>
    <row r="40" spans="1:17" x14ac:dyDescent="0.25">
      <c r="A40" s="1">
        <v>44968</v>
      </c>
      <c r="B40" t="s">
        <v>157</v>
      </c>
      <c r="C40" t="s">
        <v>58</v>
      </c>
      <c r="D40" t="s">
        <v>98</v>
      </c>
      <c r="E40" t="s">
        <v>64</v>
      </c>
      <c r="F40" t="s">
        <v>43</v>
      </c>
      <c r="G40" t="s">
        <v>18</v>
      </c>
      <c r="H40">
        <v>2</v>
      </c>
      <c r="I40">
        <v>0</v>
      </c>
      <c r="J40" t="s">
        <v>7</v>
      </c>
      <c r="K40">
        <v>2.1</v>
      </c>
      <c r="L40">
        <v>0.3</v>
      </c>
      <c r="M40">
        <v>64</v>
      </c>
      <c r="N40" s="2">
        <v>35150</v>
      </c>
      <c r="P40" s="1"/>
      <c r="Q40" s="1"/>
    </row>
    <row r="41" spans="1:17" x14ac:dyDescent="0.25">
      <c r="A41" s="1">
        <v>44973</v>
      </c>
      <c r="B41" t="s">
        <v>181</v>
      </c>
      <c r="C41" t="s">
        <v>193</v>
      </c>
      <c r="D41" t="s">
        <v>260</v>
      </c>
      <c r="E41" t="s">
        <v>85</v>
      </c>
      <c r="F41" t="s">
        <v>43</v>
      </c>
      <c r="G41" t="s">
        <v>18</v>
      </c>
      <c r="H41">
        <v>3</v>
      </c>
      <c r="I41">
        <v>0</v>
      </c>
      <c r="J41" t="s">
        <v>274</v>
      </c>
      <c r="K41">
        <v>0.8</v>
      </c>
      <c r="L41">
        <v>0.9</v>
      </c>
      <c r="M41">
        <v>55</v>
      </c>
      <c r="N41" s="2">
        <v>29593</v>
      </c>
      <c r="P41" s="1"/>
      <c r="Q41" s="1"/>
    </row>
    <row r="42" spans="1:17" x14ac:dyDescent="0.25">
      <c r="A42" s="1">
        <v>44976</v>
      </c>
      <c r="B42" t="s">
        <v>153</v>
      </c>
      <c r="C42" t="s">
        <v>58</v>
      </c>
      <c r="D42" t="s">
        <v>100</v>
      </c>
      <c r="E42" t="s">
        <v>62</v>
      </c>
      <c r="F42" t="s">
        <v>44</v>
      </c>
      <c r="G42" t="s">
        <v>4</v>
      </c>
      <c r="H42">
        <v>1</v>
      </c>
      <c r="I42">
        <v>1</v>
      </c>
      <c r="J42" t="s">
        <v>46</v>
      </c>
      <c r="K42">
        <v>0.5</v>
      </c>
      <c r="L42">
        <v>1.3</v>
      </c>
      <c r="M42">
        <v>42</v>
      </c>
      <c r="N42" s="2">
        <v>13294</v>
      </c>
      <c r="P42" s="1"/>
    </row>
    <row r="43" spans="1:17" x14ac:dyDescent="0.25">
      <c r="A43" s="1">
        <v>44980</v>
      </c>
      <c r="B43" t="s">
        <v>251</v>
      </c>
      <c r="C43" t="s">
        <v>193</v>
      </c>
      <c r="D43" t="s">
        <v>260</v>
      </c>
      <c r="E43" t="s">
        <v>85</v>
      </c>
      <c r="F43" t="s">
        <v>44</v>
      </c>
      <c r="G43" t="s">
        <v>19</v>
      </c>
      <c r="H43">
        <v>0</v>
      </c>
      <c r="I43">
        <v>2</v>
      </c>
      <c r="J43" t="s">
        <v>274</v>
      </c>
      <c r="K43">
        <v>0.7</v>
      </c>
      <c r="L43">
        <v>1.7</v>
      </c>
      <c r="M43">
        <v>49</v>
      </c>
      <c r="N43" s="2">
        <v>34000</v>
      </c>
      <c r="P43" s="1"/>
      <c r="Q43" s="1"/>
    </row>
    <row r="44" spans="1:17" x14ac:dyDescent="0.25">
      <c r="A44" s="1">
        <v>44983</v>
      </c>
      <c r="B44" t="s">
        <v>181</v>
      </c>
      <c r="C44" t="s">
        <v>58</v>
      </c>
      <c r="D44" t="s">
        <v>101</v>
      </c>
      <c r="E44" t="s">
        <v>62</v>
      </c>
      <c r="F44" t="s">
        <v>43</v>
      </c>
      <c r="G44" t="s">
        <v>19</v>
      </c>
      <c r="H44">
        <v>2</v>
      </c>
      <c r="I44">
        <v>3</v>
      </c>
      <c r="J44" t="s">
        <v>9</v>
      </c>
      <c r="K44">
        <v>1.7</v>
      </c>
      <c r="L44">
        <v>0.9</v>
      </c>
      <c r="M44">
        <v>67</v>
      </c>
      <c r="N44" s="2">
        <v>34538</v>
      </c>
      <c r="P44" s="1"/>
      <c r="Q44" s="1"/>
    </row>
    <row r="45" spans="1:17" x14ac:dyDescent="0.25">
      <c r="A45" s="1">
        <v>44989</v>
      </c>
      <c r="B45" t="s">
        <v>181</v>
      </c>
      <c r="C45" t="s">
        <v>58</v>
      </c>
      <c r="D45" t="s">
        <v>102</v>
      </c>
      <c r="E45" t="s">
        <v>64</v>
      </c>
      <c r="F45" t="s">
        <v>44</v>
      </c>
      <c r="G45" t="s">
        <v>19</v>
      </c>
      <c r="H45">
        <v>1</v>
      </c>
      <c r="I45">
        <v>6</v>
      </c>
      <c r="J45" t="s">
        <v>65</v>
      </c>
      <c r="K45">
        <v>1.5</v>
      </c>
      <c r="L45">
        <v>3.2</v>
      </c>
      <c r="M45">
        <v>53</v>
      </c>
      <c r="N45" s="2">
        <v>57737</v>
      </c>
      <c r="P45" s="1"/>
      <c r="Q45" s="1"/>
    </row>
    <row r="46" spans="1:17" x14ac:dyDescent="0.25">
      <c r="A46" s="1">
        <v>44994</v>
      </c>
      <c r="B46" t="s">
        <v>181</v>
      </c>
      <c r="C46" t="s">
        <v>193</v>
      </c>
      <c r="D46" t="s">
        <v>91</v>
      </c>
      <c r="E46" t="s">
        <v>85</v>
      </c>
      <c r="F46" t="s">
        <v>43</v>
      </c>
      <c r="G46" t="s">
        <v>18</v>
      </c>
      <c r="H46">
        <v>2</v>
      </c>
      <c r="I46">
        <v>0</v>
      </c>
      <c r="J46" t="s">
        <v>275</v>
      </c>
      <c r="K46">
        <v>0.7</v>
      </c>
      <c r="L46">
        <v>1.1000000000000001</v>
      </c>
      <c r="M46">
        <v>53</v>
      </c>
      <c r="N46" s="2">
        <v>24480</v>
      </c>
      <c r="P46" s="1"/>
      <c r="Q46" s="1"/>
    </row>
    <row r="47" spans="1:17" x14ac:dyDescent="0.25">
      <c r="A47" s="1">
        <v>44997</v>
      </c>
      <c r="B47" t="s">
        <v>167</v>
      </c>
      <c r="C47" t="s">
        <v>58</v>
      </c>
      <c r="D47" t="s">
        <v>103</v>
      </c>
      <c r="E47" t="s">
        <v>62</v>
      </c>
      <c r="F47" t="s">
        <v>43</v>
      </c>
      <c r="G47" t="s">
        <v>18</v>
      </c>
      <c r="H47">
        <v>2</v>
      </c>
      <c r="I47">
        <v>1</v>
      </c>
      <c r="J47" t="s">
        <v>128</v>
      </c>
      <c r="K47">
        <v>3</v>
      </c>
      <c r="L47">
        <v>1.1000000000000001</v>
      </c>
      <c r="M47">
        <v>56</v>
      </c>
      <c r="N47" s="2">
        <v>37848</v>
      </c>
      <c r="P47" s="1"/>
    </row>
    <row r="48" spans="1:17" x14ac:dyDescent="0.25">
      <c r="A48" s="1">
        <v>45001</v>
      </c>
      <c r="B48" t="s">
        <v>276</v>
      </c>
      <c r="C48" t="s">
        <v>193</v>
      </c>
      <c r="D48" t="s">
        <v>91</v>
      </c>
      <c r="E48" t="s">
        <v>85</v>
      </c>
      <c r="F48" t="s">
        <v>44</v>
      </c>
      <c r="G48" t="s">
        <v>19</v>
      </c>
      <c r="H48">
        <v>0</v>
      </c>
      <c r="I48">
        <v>1</v>
      </c>
      <c r="J48" t="s">
        <v>275</v>
      </c>
      <c r="K48">
        <v>0.1</v>
      </c>
      <c r="L48">
        <v>1.7</v>
      </c>
      <c r="M48">
        <v>36</v>
      </c>
      <c r="N48" s="2">
        <v>44775</v>
      </c>
      <c r="P48" s="1"/>
      <c r="Q48" s="1"/>
    </row>
    <row r="49" spans="1:17" x14ac:dyDescent="0.25">
      <c r="A49" s="1">
        <v>45004</v>
      </c>
      <c r="B49" t="s">
        <v>211</v>
      </c>
      <c r="C49" t="s">
        <v>58</v>
      </c>
      <c r="D49" t="s">
        <v>104</v>
      </c>
      <c r="E49" t="s">
        <v>62</v>
      </c>
      <c r="F49" t="s">
        <v>44</v>
      </c>
      <c r="G49" t="s">
        <v>19</v>
      </c>
      <c r="H49">
        <v>0</v>
      </c>
      <c r="I49">
        <v>2</v>
      </c>
      <c r="J49" t="s">
        <v>12</v>
      </c>
      <c r="K49">
        <v>1</v>
      </c>
      <c r="L49">
        <v>1.7</v>
      </c>
      <c r="M49">
        <v>63</v>
      </c>
      <c r="N49" s="2">
        <v>12253</v>
      </c>
      <c r="P49" s="1"/>
      <c r="Q49" s="1"/>
    </row>
    <row r="50" spans="1:17" x14ac:dyDescent="0.25">
      <c r="A50" s="1">
        <v>45017</v>
      </c>
      <c r="B50" t="s">
        <v>157</v>
      </c>
      <c r="C50" t="s">
        <v>58</v>
      </c>
      <c r="D50" t="s">
        <v>105</v>
      </c>
      <c r="E50" t="s">
        <v>64</v>
      </c>
      <c r="F50" t="s">
        <v>44</v>
      </c>
      <c r="G50" t="s">
        <v>18</v>
      </c>
      <c r="H50">
        <v>2</v>
      </c>
      <c r="I50">
        <v>0</v>
      </c>
      <c r="J50" t="s">
        <v>125</v>
      </c>
      <c r="K50">
        <v>1.1000000000000001</v>
      </c>
      <c r="L50">
        <v>1.1000000000000001</v>
      </c>
      <c r="M50">
        <v>49</v>
      </c>
      <c r="N50" s="2">
        <v>19181</v>
      </c>
      <c r="Q50" s="1"/>
    </row>
    <row r="51" spans="1:17" x14ac:dyDescent="0.25">
      <c r="A51" s="1">
        <v>45023</v>
      </c>
      <c r="B51" t="s">
        <v>181</v>
      </c>
      <c r="C51" t="s">
        <v>58</v>
      </c>
      <c r="D51" t="s">
        <v>106</v>
      </c>
      <c r="E51" t="s">
        <v>60</v>
      </c>
      <c r="F51" t="s">
        <v>43</v>
      </c>
      <c r="G51" t="s">
        <v>4</v>
      </c>
      <c r="H51">
        <v>2</v>
      </c>
      <c r="I51">
        <v>2</v>
      </c>
      <c r="J51" t="s">
        <v>50</v>
      </c>
      <c r="K51">
        <v>0.4</v>
      </c>
      <c r="L51">
        <v>0.6</v>
      </c>
      <c r="M51">
        <v>31</v>
      </c>
      <c r="N51" s="2">
        <v>30778</v>
      </c>
      <c r="Q51" s="1"/>
    </row>
    <row r="52" spans="1:17" x14ac:dyDescent="0.25">
      <c r="A52" s="1">
        <v>45029</v>
      </c>
      <c r="B52" t="s">
        <v>161</v>
      </c>
      <c r="C52" t="s">
        <v>193</v>
      </c>
      <c r="D52" t="s">
        <v>96</v>
      </c>
      <c r="E52" t="s">
        <v>85</v>
      </c>
      <c r="F52" t="s">
        <v>44</v>
      </c>
      <c r="G52" t="s">
        <v>4</v>
      </c>
      <c r="H52">
        <v>2</v>
      </c>
      <c r="I52">
        <v>2</v>
      </c>
      <c r="J52" t="s">
        <v>183</v>
      </c>
      <c r="K52">
        <v>0.6</v>
      </c>
      <c r="L52">
        <v>1.7</v>
      </c>
      <c r="M52">
        <v>45</v>
      </c>
      <c r="N52" s="2">
        <v>72825</v>
      </c>
    </row>
    <row r="53" spans="1:17" x14ac:dyDescent="0.25">
      <c r="A53" s="1">
        <v>45032</v>
      </c>
      <c r="B53" t="s">
        <v>181</v>
      </c>
      <c r="C53" t="s">
        <v>58</v>
      </c>
      <c r="D53" t="s">
        <v>107</v>
      </c>
      <c r="E53" t="s">
        <v>62</v>
      </c>
      <c r="F53" t="s">
        <v>44</v>
      </c>
      <c r="G53" t="s">
        <v>18</v>
      </c>
      <c r="H53">
        <v>2</v>
      </c>
      <c r="I53">
        <v>0</v>
      </c>
      <c r="J53" t="s">
        <v>3</v>
      </c>
      <c r="K53">
        <v>0.4</v>
      </c>
      <c r="L53">
        <v>0.4</v>
      </c>
      <c r="M53">
        <v>40</v>
      </c>
      <c r="N53" s="2">
        <v>39654</v>
      </c>
      <c r="Q53" s="1"/>
    </row>
    <row r="54" spans="1:17" x14ac:dyDescent="0.25">
      <c r="A54" s="1">
        <v>45036</v>
      </c>
      <c r="B54" t="s">
        <v>181</v>
      </c>
      <c r="C54" t="s">
        <v>193</v>
      </c>
      <c r="D54" t="s">
        <v>96</v>
      </c>
      <c r="E54" t="s">
        <v>85</v>
      </c>
      <c r="F54" t="s">
        <v>43</v>
      </c>
      <c r="G54" t="s">
        <v>18</v>
      </c>
      <c r="H54">
        <v>3</v>
      </c>
      <c r="I54">
        <v>0</v>
      </c>
      <c r="J54" t="s">
        <v>183</v>
      </c>
      <c r="K54">
        <v>2</v>
      </c>
      <c r="L54">
        <v>1</v>
      </c>
      <c r="M54">
        <v>39</v>
      </c>
      <c r="N54" s="2">
        <v>41974</v>
      </c>
    </row>
    <row r="55" spans="1:17" x14ac:dyDescent="0.25">
      <c r="A55" s="1">
        <v>45039</v>
      </c>
      <c r="B55" t="s">
        <v>181</v>
      </c>
      <c r="C55" t="s">
        <v>58</v>
      </c>
      <c r="D55" t="s">
        <v>108</v>
      </c>
      <c r="E55" t="s">
        <v>62</v>
      </c>
      <c r="F55" t="s">
        <v>43</v>
      </c>
      <c r="G55" t="s">
        <v>18</v>
      </c>
      <c r="H55">
        <v>2</v>
      </c>
      <c r="I55">
        <v>1</v>
      </c>
      <c r="J55" t="s">
        <v>10</v>
      </c>
      <c r="K55">
        <v>0.9</v>
      </c>
      <c r="L55">
        <v>2.2000000000000002</v>
      </c>
      <c r="M55">
        <v>38</v>
      </c>
      <c r="N55" s="2">
        <v>29635</v>
      </c>
      <c r="Q55" s="1"/>
    </row>
    <row r="56" spans="1:17" x14ac:dyDescent="0.25">
      <c r="A56" s="1">
        <v>45043</v>
      </c>
      <c r="B56" t="s">
        <v>176</v>
      </c>
      <c r="C56" t="s">
        <v>58</v>
      </c>
      <c r="D56" t="s">
        <v>109</v>
      </c>
      <c r="E56" t="s">
        <v>85</v>
      </c>
      <c r="F56" t="s">
        <v>44</v>
      </c>
      <c r="G56" t="s">
        <v>18</v>
      </c>
      <c r="H56">
        <v>1</v>
      </c>
      <c r="I56">
        <v>0</v>
      </c>
      <c r="J56" t="s">
        <v>73</v>
      </c>
      <c r="K56">
        <v>1</v>
      </c>
      <c r="L56">
        <v>0.3</v>
      </c>
      <c r="M56">
        <v>46</v>
      </c>
      <c r="N56" s="2">
        <v>42716</v>
      </c>
    </row>
    <row r="57" spans="1:17" x14ac:dyDescent="0.25">
      <c r="A57" s="1">
        <v>45047</v>
      </c>
      <c r="B57" t="s">
        <v>181</v>
      </c>
      <c r="C57" t="s">
        <v>58</v>
      </c>
      <c r="D57" t="s">
        <v>110</v>
      </c>
      <c r="E57" t="s">
        <v>117</v>
      </c>
      <c r="F57" t="s">
        <v>43</v>
      </c>
      <c r="G57" t="s">
        <v>19</v>
      </c>
      <c r="H57">
        <v>0</v>
      </c>
      <c r="I57">
        <v>2</v>
      </c>
      <c r="J57" t="s">
        <v>5</v>
      </c>
      <c r="K57">
        <v>2.2000000000000002</v>
      </c>
      <c r="L57">
        <v>0.8</v>
      </c>
      <c r="M57">
        <v>63</v>
      </c>
      <c r="N57" s="2">
        <v>35560</v>
      </c>
      <c r="Q57" s="1"/>
    </row>
    <row r="58" spans="1:17" x14ac:dyDescent="0.25">
      <c r="A58" s="1">
        <v>45050</v>
      </c>
      <c r="B58" t="s">
        <v>166</v>
      </c>
      <c r="C58" t="s">
        <v>58</v>
      </c>
      <c r="D58" t="s">
        <v>111</v>
      </c>
      <c r="E58" t="s">
        <v>85</v>
      </c>
      <c r="F58" t="s">
        <v>43</v>
      </c>
      <c r="G58" t="s">
        <v>18</v>
      </c>
      <c r="H58">
        <v>3</v>
      </c>
      <c r="I58">
        <v>2</v>
      </c>
      <c r="J58" t="s">
        <v>48</v>
      </c>
      <c r="K58">
        <v>2.6</v>
      </c>
      <c r="L58">
        <v>1</v>
      </c>
      <c r="M58">
        <v>63</v>
      </c>
      <c r="N58" s="2">
        <v>35391</v>
      </c>
      <c r="Q58" s="1"/>
    </row>
    <row r="59" spans="1:17" x14ac:dyDescent="0.25">
      <c r="A59" s="1">
        <v>45057</v>
      </c>
      <c r="B59" t="s">
        <v>181</v>
      </c>
      <c r="C59" t="s">
        <v>193</v>
      </c>
      <c r="D59" t="s">
        <v>99</v>
      </c>
      <c r="E59" t="s">
        <v>85</v>
      </c>
      <c r="F59" t="s">
        <v>44</v>
      </c>
      <c r="G59" t="s">
        <v>4</v>
      </c>
      <c r="H59">
        <v>1</v>
      </c>
      <c r="I59">
        <v>1</v>
      </c>
      <c r="J59" t="s">
        <v>277</v>
      </c>
      <c r="K59">
        <v>1.6</v>
      </c>
      <c r="L59">
        <v>2</v>
      </c>
      <c r="M59">
        <v>42</v>
      </c>
      <c r="N59" s="2">
        <v>34816</v>
      </c>
    </row>
    <row r="60" spans="1:17" x14ac:dyDescent="0.25">
      <c r="A60" s="1">
        <v>45060</v>
      </c>
      <c r="B60" t="s">
        <v>157</v>
      </c>
      <c r="C60" t="s">
        <v>58</v>
      </c>
      <c r="D60" t="s">
        <v>112</v>
      </c>
      <c r="E60" t="s">
        <v>62</v>
      </c>
      <c r="F60" t="s">
        <v>44</v>
      </c>
      <c r="G60" t="s">
        <v>18</v>
      </c>
      <c r="H60">
        <v>3</v>
      </c>
      <c r="I60">
        <v>0</v>
      </c>
      <c r="J60" t="s">
        <v>47</v>
      </c>
      <c r="K60">
        <v>2.5</v>
      </c>
      <c r="L60">
        <v>2</v>
      </c>
      <c r="M60">
        <v>45</v>
      </c>
      <c r="N60" s="2">
        <v>21580</v>
      </c>
      <c r="Q60" s="1"/>
    </row>
    <row r="61" spans="1:17" x14ac:dyDescent="0.25">
      <c r="A61" s="1">
        <v>45064</v>
      </c>
      <c r="B61" t="s">
        <v>181</v>
      </c>
      <c r="C61" t="s">
        <v>193</v>
      </c>
      <c r="D61" t="s">
        <v>99</v>
      </c>
      <c r="E61" t="s">
        <v>85</v>
      </c>
      <c r="F61" t="s">
        <v>43</v>
      </c>
      <c r="G61" t="s">
        <v>18</v>
      </c>
      <c r="H61">
        <v>2</v>
      </c>
      <c r="I61">
        <v>1</v>
      </c>
      <c r="J61" t="s">
        <v>277</v>
      </c>
      <c r="K61">
        <v>1.4</v>
      </c>
      <c r="L61">
        <v>1.8</v>
      </c>
      <c r="M61">
        <v>59</v>
      </c>
      <c r="N61" s="2">
        <v>42186</v>
      </c>
    </row>
    <row r="62" spans="1:17" x14ac:dyDescent="0.25">
      <c r="A62" s="1">
        <v>45067</v>
      </c>
      <c r="B62" t="s">
        <v>181</v>
      </c>
      <c r="C62" t="s">
        <v>58</v>
      </c>
      <c r="D62" t="s">
        <v>113</v>
      </c>
      <c r="E62" t="s">
        <v>62</v>
      </c>
      <c r="F62" t="s">
        <v>43</v>
      </c>
      <c r="G62" t="s">
        <v>4</v>
      </c>
      <c r="H62">
        <v>0</v>
      </c>
      <c r="I62">
        <v>0</v>
      </c>
      <c r="J62" t="s">
        <v>11</v>
      </c>
      <c r="K62">
        <v>1.1000000000000001</v>
      </c>
      <c r="L62">
        <v>0.1</v>
      </c>
      <c r="M62">
        <v>54</v>
      </c>
      <c r="N62" s="2">
        <v>41392</v>
      </c>
    </row>
    <row r="63" spans="1:17" x14ac:dyDescent="0.25">
      <c r="A63" s="1">
        <v>45070</v>
      </c>
      <c r="B63" t="s">
        <v>166</v>
      </c>
      <c r="C63" t="s">
        <v>58</v>
      </c>
      <c r="D63" t="s">
        <v>114</v>
      </c>
      <c r="E63" t="s">
        <v>92</v>
      </c>
      <c r="F63" t="s">
        <v>44</v>
      </c>
      <c r="G63" t="s">
        <v>4</v>
      </c>
      <c r="H63">
        <v>1</v>
      </c>
      <c r="I63">
        <v>1</v>
      </c>
      <c r="J63" t="s">
        <v>123</v>
      </c>
      <c r="K63">
        <v>0.7</v>
      </c>
      <c r="L63">
        <v>1.5</v>
      </c>
      <c r="M63">
        <v>29</v>
      </c>
      <c r="N63" s="2">
        <v>13263</v>
      </c>
      <c r="Q63" s="1"/>
    </row>
    <row r="64" spans="1:17" x14ac:dyDescent="0.25">
      <c r="A64" s="1">
        <v>45073</v>
      </c>
      <c r="B64" t="s">
        <v>162</v>
      </c>
      <c r="C64" t="s">
        <v>58</v>
      </c>
      <c r="D64" t="s">
        <v>115</v>
      </c>
      <c r="E64" t="s">
        <v>64</v>
      </c>
      <c r="F64" t="s">
        <v>43</v>
      </c>
      <c r="G64" t="s">
        <v>19</v>
      </c>
      <c r="H64">
        <v>1</v>
      </c>
      <c r="I64">
        <v>2</v>
      </c>
      <c r="J64" t="s">
        <v>8</v>
      </c>
      <c r="K64">
        <v>1.2</v>
      </c>
      <c r="L64">
        <v>0.8</v>
      </c>
      <c r="M64">
        <v>33</v>
      </c>
      <c r="N64" s="2">
        <v>29856</v>
      </c>
      <c r="Q64" s="1"/>
    </row>
    <row r="65" spans="1:17" x14ac:dyDescent="0.25">
      <c r="A65" s="1">
        <v>45077</v>
      </c>
      <c r="B65" t="s">
        <v>181</v>
      </c>
      <c r="C65" t="s">
        <v>193</v>
      </c>
      <c r="D65" t="s">
        <v>121</v>
      </c>
      <c r="E65" t="s">
        <v>92</v>
      </c>
      <c r="F65" t="s">
        <v>186</v>
      </c>
      <c r="G65" t="s">
        <v>4</v>
      </c>
      <c r="H65" t="s">
        <v>278</v>
      </c>
      <c r="I65" t="s">
        <v>279</v>
      </c>
      <c r="J65" t="s">
        <v>231</v>
      </c>
      <c r="K65">
        <v>0.8</v>
      </c>
      <c r="L65">
        <v>1.9</v>
      </c>
      <c r="M65">
        <v>66</v>
      </c>
      <c r="Q65" s="1"/>
    </row>
    <row r="66" spans="1:17" x14ac:dyDescent="0.25">
      <c r="A66" s="1">
        <v>45081</v>
      </c>
      <c r="B66" t="s">
        <v>157</v>
      </c>
      <c r="C66" t="s">
        <v>58</v>
      </c>
      <c r="D66" t="s">
        <v>116</v>
      </c>
      <c r="E66" t="s">
        <v>62</v>
      </c>
      <c r="F66" t="s">
        <v>44</v>
      </c>
      <c r="G66" t="s">
        <v>19</v>
      </c>
      <c r="H66">
        <v>1</v>
      </c>
      <c r="I66">
        <v>2</v>
      </c>
      <c r="J66" t="s">
        <v>49</v>
      </c>
      <c r="K66">
        <v>0.4</v>
      </c>
      <c r="L66">
        <v>1.8</v>
      </c>
      <c r="M66">
        <v>45</v>
      </c>
      <c r="N66" s="2">
        <v>35065</v>
      </c>
    </row>
    <row r="68" spans="1:17" x14ac:dyDescent="0.25">
      <c r="A68" t="s">
        <v>280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A64E-7466-4C0D-9294-68BE46D13017}">
  <dimension ref="A1:Q60"/>
  <sheetViews>
    <sheetView workbookViewId="0">
      <selection activeCell="O1" sqref="O1:U1048576"/>
    </sheetView>
  </sheetViews>
  <sheetFormatPr defaultRowHeight="15" x14ac:dyDescent="0.25"/>
  <cols>
    <col min="1" max="1" width="11.140625" customWidth="1"/>
  </cols>
  <sheetData>
    <row r="1" spans="1:17" x14ac:dyDescent="0.25">
      <c r="A1" t="s">
        <v>281</v>
      </c>
    </row>
    <row r="2" spans="1:17" x14ac:dyDescent="0.25">
      <c r="A2" t="s">
        <v>282</v>
      </c>
    </row>
    <row r="3" spans="1:17" x14ac:dyDescent="0.25">
      <c r="A3" t="s">
        <v>283</v>
      </c>
    </row>
    <row r="4" spans="1:17" x14ac:dyDescent="0.25">
      <c r="A4" t="s">
        <v>284</v>
      </c>
    </row>
    <row r="7" spans="1:17" x14ac:dyDescent="0.25">
      <c r="A7" t="s">
        <v>0</v>
      </c>
      <c r="B7" t="s">
        <v>1</v>
      </c>
      <c r="C7" t="s">
        <v>16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 t="s">
        <v>45</v>
      </c>
      <c r="K7" t="s">
        <v>55</v>
      </c>
      <c r="L7" t="s">
        <v>56</v>
      </c>
      <c r="M7" t="s">
        <v>57</v>
      </c>
      <c r="N7" t="s">
        <v>24</v>
      </c>
    </row>
    <row r="8" spans="1:17" x14ac:dyDescent="0.25">
      <c r="A8" s="1">
        <v>45149</v>
      </c>
      <c r="B8" t="s">
        <v>176</v>
      </c>
      <c r="C8" t="s">
        <v>58</v>
      </c>
      <c r="D8" t="s">
        <v>59</v>
      </c>
      <c r="E8" t="s">
        <v>60</v>
      </c>
      <c r="F8" t="s">
        <v>43</v>
      </c>
      <c r="G8" t="s">
        <v>19</v>
      </c>
      <c r="H8">
        <v>1</v>
      </c>
      <c r="I8">
        <v>2</v>
      </c>
      <c r="J8" t="s">
        <v>3</v>
      </c>
      <c r="K8">
        <v>0.7</v>
      </c>
      <c r="L8">
        <v>1.1000000000000001</v>
      </c>
      <c r="M8">
        <v>55</v>
      </c>
      <c r="N8" s="2">
        <v>34184</v>
      </c>
      <c r="Q8" s="1"/>
    </row>
    <row r="9" spans="1:17" x14ac:dyDescent="0.25">
      <c r="A9" s="1">
        <v>45154</v>
      </c>
      <c r="B9" t="s">
        <v>203</v>
      </c>
      <c r="C9" t="s">
        <v>238</v>
      </c>
      <c r="D9" t="s">
        <v>239</v>
      </c>
      <c r="E9" t="s">
        <v>92</v>
      </c>
      <c r="F9" t="s">
        <v>44</v>
      </c>
      <c r="G9" t="s">
        <v>4</v>
      </c>
      <c r="H9" t="s">
        <v>278</v>
      </c>
      <c r="I9" t="s">
        <v>257</v>
      </c>
      <c r="J9" t="s">
        <v>269</v>
      </c>
      <c r="M9">
        <v>26</v>
      </c>
    </row>
    <row r="10" spans="1:17" x14ac:dyDescent="0.25">
      <c r="A10" s="1">
        <v>45159</v>
      </c>
      <c r="B10" t="s">
        <v>162</v>
      </c>
      <c r="C10" t="s">
        <v>58</v>
      </c>
      <c r="D10" t="s">
        <v>61</v>
      </c>
      <c r="E10" t="s">
        <v>117</v>
      </c>
      <c r="F10" t="s">
        <v>44</v>
      </c>
      <c r="G10" t="s">
        <v>19</v>
      </c>
      <c r="H10">
        <v>3</v>
      </c>
      <c r="I10">
        <v>4</v>
      </c>
      <c r="J10" t="s">
        <v>80</v>
      </c>
      <c r="K10">
        <v>0.6</v>
      </c>
      <c r="L10">
        <v>1.8</v>
      </c>
      <c r="M10">
        <v>66</v>
      </c>
      <c r="N10" s="2">
        <v>15308</v>
      </c>
      <c r="Q10" s="1"/>
    </row>
    <row r="11" spans="1:17" x14ac:dyDescent="0.25">
      <c r="A11" s="1">
        <v>45164</v>
      </c>
      <c r="B11" t="s">
        <v>160</v>
      </c>
      <c r="C11" t="s">
        <v>58</v>
      </c>
      <c r="D11" t="s">
        <v>63</v>
      </c>
      <c r="E11" t="s">
        <v>64</v>
      </c>
      <c r="F11" t="s">
        <v>43</v>
      </c>
      <c r="G11" t="s">
        <v>19</v>
      </c>
      <c r="H11">
        <v>1</v>
      </c>
      <c r="I11">
        <v>2</v>
      </c>
      <c r="J11" t="s">
        <v>5</v>
      </c>
      <c r="K11">
        <v>1.7</v>
      </c>
      <c r="L11">
        <v>1.7</v>
      </c>
      <c r="M11">
        <v>52</v>
      </c>
      <c r="N11" s="2">
        <v>29304</v>
      </c>
    </row>
    <row r="12" spans="1:17" x14ac:dyDescent="0.25">
      <c r="A12" s="1">
        <v>45186</v>
      </c>
      <c r="B12" t="s">
        <v>157</v>
      </c>
      <c r="C12" t="s">
        <v>58</v>
      </c>
      <c r="D12" t="s">
        <v>68</v>
      </c>
      <c r="E12" t="s">
        <v>62</v>
      </c>
      <c r="F12" t="s">
        <v>43</v>
      </c>
      <c r="G12" t="s">
        <v>18</v>
      </c>
      <c r="H12">
        <v>1</v>
      </c>
      <c r="I12">
        <v>0</v>
      </c>
      <c r="J12" t="s">
        <v>6</v>
      </c>
      <c r="K12">
        <v>1.7</v>
      </c>
      <c r="L12">
        <v>1</v>
      </c>
      <c r="M12">
        <v>43</v>
      </c>
      <c r="N12" s="2">
        <v>40578</v>
      </c>
    </row>
    <row r="13" spans="1:17" x14ac:dyDescent="0.25">
      <c r="A13" s="1">
        <v>45189</v>
      </c>
      <c r="B13" t="s">
        <v>181</v>
      </c>
      <c r="C13" t="s">
        <v>118</v>
      </c>
      <c r="D13" t="s">
        <v>119</v>
      </c>
      <c r="E13" t="s">
        <v>92</v>
      </c>
      <c r="F13" t="s">
        <v>43</v>
      </c>
      <c r="G13" t="s">
        <v>4</v>
      </c>
      <c r="H13">
        <v>1</v>
      </c>
      <c r="I13">
        <v>1</v>
      </c>
      <c r="J13" t="s">
        <v>285</v>
      </c>
      <c r="K13">
        <v>0.8</v>
      </c>
      <c r="L13">
        <v>1.3</v>
      </c>
      <c r="M13">
        <v>56</v>
      </c>
      <c r="N13" s="2">
        <v>33544</v>
      </c>
      <c r="Q13" s="1"/>
    </row>
    <row r="14" spans="1:17" x14ac:dyDescent="0.25">
      <c r="A14" s="1">
        <v>45192</v>
      </c>
      <c r="B14" t="s">
        <v>153</v>
      </c>
      <c r="C14" t="s">
        <v>58</v>
      </c>
      <c r="D14" t="s">
        <v>71</v>
      </c>
      <c r="E14" t="s">
        <v>64</v>
      </c>
      <c r="F14" t="s">
        <v>44</v>
      </c>
      <c r="G14" t="s">
        <v>4</v>
      </c>
      <c r="H14">
        <v>0</v>
      </c>
      <c r="I14">
        <v>0</v>
      </c>
      <c r="J14" t="s">
        <v>9</v>
      </c>
      <c r="K14">
        <v>0.8</v>
      </c>
      <c r="L14">
        <v>1.4</v>
      </c>
      <c r="M14">
        <v>56</v>
      </c>
      <c r="N14" s="2">
        <v>19670</v>
      </c>
      <c r="Q14" s="1"/>
    </row>
    <row r="15" spans="1:17" x14ac:dyDescent="0.25">
      <c r="A15" s="1">
        <v>45195</v>
      </c>
      <c r="B15" t="s">
        <v>162</v>
      </c>
      <c r="C15" t="s">
        <v>58</v>
      </c>
      <c r="D15" t="s">
        <v>72</v>
      </c>
      <c r="E15" t="s">
        <v>69</v>
      </c>
      <c r="F15" t="s">
        <v>43</v>
      </c>
      <c r="G15" t="s">
        <v>18</v>
      </c>
      <c r="H15">
        <v>5</v>
      </c>
      <c r="I15">
        <v>1</v>
      </c>
      <c r="J15" t="s">
        <v>128</v>
      </c>
      <c r="K15">
        <v>2.2000000000000002</v>
      </c>
      <c r="L15">
        <v>1.8</v>
      </c>
      <c r="M15">
        <v>46</v>
      </c>
      <c r="N15" s="2">
        <v>35729</v>
      </c>
      <c r="Q15" s="1"/>
    </row>
    <row r="16" spans="1:17" x14ac:dyDescent="0.25">
      <c r="A16" s="1">
        <v>45198</v>
      </c>
      <c r="B16" t="s">
        <v>181</v>
      </c>
      <c r="C16" t="s">
        <v>58</v>
      </c>
      <c r="D16" t="s">
        <v>74</v>
      </c>
      <c r="E16" t="s">
        <v>60</v>
      </c>
      <c r="F16" t="s">
        <v>44</v>
      </c>
      <c r="G16" t="s">
        <v>19</v>
      </c>
      <c r="H16">
        <v>0</v>
      </c>
      <c r="I16">
        <v>1</v>
      </c>
      <c r="J16" t="s">
        <v>13</v>
      </c>
      <c r="K16">
        <v>1.1000000000000001</v>
      </c>
      <c r="L16">
        <v>2.4</v>
      </c>
      <c r="M16">
        <v>42</v>
      </c>
      <c r="N16" s="2">
        <v>41116</v>
      </c>
      <c r="Q16" s="1"/>
    </row>
    <row r="17" spans="1:17" x14ac:dyDescent="0.25">
      <c r="A17" s="1">
        <v>45202</v>
      </c>
      <c r="B17" t="s">
        <v>181</v>
      </c>
      <c r="C17" t="s">
        <v>118</v>
      </c>
      <c r="D17" t="s">
        <v>119</v>
      </c>
      <c r="E17" t="s">
        <v>69</v>
      </c>
      <c r="F17" t="s">
        <v>44</v>
      </c>
      <c r="G17" t="s">
        <v>4</v>
      </c>
      <c r="H17">
        <v>2</v>
      </c>
      <c r="I17">
        <v>2</v>
      </c>
      <c r="J17" t="s">
        <v>274</v>
      </c>
      <c r="K17">
        <v>1.3</v>
      </c>
      <c r="L17">
        <v>2.6</v>
      </c>
      <c r="M17">
        <v>37</v>
      </c>
      <c r="N17" s="2">
        <v>34206</v>
      </c>
      <c r="Q17" s="1"/>
    </row>
    <row r="18" spans="1:17" x14ac:dyDescent="0.25">
      <c r="A18" s="1">
        <v>45206</v>
      </c>
      <c r="B18" t="s">
        <v>181</v>
      </c>
      <c r="C18" t="s">
        <v>58</v>
      </c>
      <c r="D18" t="s">
        <v>75</v>
      </c>
      <c r="E18" t="s">
        <v>64</v>
      </c>
      <c r="F18" t="s">
        <v>43</v>
      </c>
      <c r="G18" t="s">
        <v>4</v>
      </c>
      <c r="H18">
        <v>2</v>
      </c>
      <c r="I18">
        <v>2</v>
      </c>
      <c r="J18" t="s">
        <v>46</v>
      </c>
      <c r="K18">
        <v>1</v>
      </c>
      <c r="L18">
        <v>1</v>
      </c>
      <c r="M18">
        <v>64</v>
      </c>
      <c r="N18" s="2">
        <v>35817</v>
      </c>
      <c r="Q18" s="1"/>
    </row>
    <row r="19" spans="1:17" x14ac:dyDescent="0.25">
      <c r="A19" s="1">
        <v>45220</v>
      </c>
      <c r="B19" t="s">
        <v>157</v>
      </c>
      <c r="C19" t="s">
        <v>58</v>
      </c>
      <c r="D19" t="s">
        <v>79</v>
      </c>
      <c r="E19" t="s">
        <v>64</v>
      </c>
      <c r="F19" t="s">
        <v>43</v>
      </c>
      <c r="G19" t="s">
        <v>4</v>
      </c>
      <c r="H19">
        <v>1</v>
      </c>
      <c r="I19">
        <v>1</v>
      </c>
      <c r="J19" t="s">
        <v>8</v>
      </c>
      <c r="K19">
        <v>1.5</v>
      </c>
      <c r="L19">
        <v>1.6</v>
      </c>
      <c r="M19">
        <v>49</v>
      </c>
      <c r="N19" s="2">
        <v>41212</v>
      </c>
      <c r="P19" s="1"/>
    </row>
    <row r="20" spans="1:17" x14ac:dyDescent="0.25">
      <c r="A20" s="1">
        <v>45223</v>
      </c>
      <c r="B20" t="s">
        <v>181</v>
      </c>
      <c r="C20" t="s">
        <v>118</v>
      </c>
      <c r="D20" t="s">
        <v>119</v>
      </c>
      <c r="E20" t="s">
        <v>69</v>
      </c>
      <c r="F20" t="s">
        <v>43</v>
      </c>
      <c r="G20" t="s">
        <v>19</v>
      </c>
      <c r="H20">
        <v>1</v>
      </c>
      <c r="I20">
        <v>2</v>
      </c>
      <c r="J20" t="s">
        <v>286</v>
      </c>
      <c r="K20">
        <v>0.8</v>
      </c>
      <c r="L20">
        <v>1.9</v>
      </c>
      <c r="M20">
        <v>57</v>
      </c>
      <c r="N20" s="2">
        <v>39595</v>
      </c>
      <c r="Q20" s="1"/>
    </row>
    <row r="21" spans="1:17" x14ac:dyDescent="0.25">
      <c r="A21" s="1">
        <v>45227</v>
      </c>
      <c r="B21" t="s">
        <v>181</v>
      </c>
      <c r="C21" t="s">
        <v>58</v>
      </c>
      <c r="D21" t="s">
        <v>81</v>
      </c>
      <c r="E21" t="s">
        <v>64</v>
      </c>
      <c r="F21" t="s">
        <v>44</v>
      </c>
      <c r="G21" t="s">
        <v>4</v>
      </c>
      <c r="H21">
        <v>2</v>
      </c>
      <c r="I21">
        <v>2</v>
      </c>
      <c r="J21" t="s">
        <v>125</v>
      </c>
      <c r="K21">
        <v>1.2</v>
      </c>
      <c r="L21">
        <v>1.1000000000000001</v>
      </c>
      <c r="M21">
        <v>66</v>
      </c>
      <c r="N21" s="2">
        <v>18886</v>
      </c>
      <c r="P21" s="1"/>
      <c r="Q21" s="1"/>
    </row>
    <row r="22" spans="1:17" x14ac:dyDescent="0.25">
      <c r="A22" s="1">
        <v>45231</v>
      </c>
      <c r="B22" t="s">
        <v>287</v>
      </c>
      <c r="C22" t="s">
        <v>76</v>
      </c>
      <c r="D22" t="s">
        <v>124</v>
      </c>
      <c r="E22" t="s">
        <v>92</v>
      </c>
      <c r="F22" t="s">
        <v>44</v>
      </c>
      <c r="G22" t="s">
        <v>18</v>
      </c>
      <c r="H22">
        <v>3</v>
      </c>
      <c r="I22">
        <v>0</v>
      </c>
      <c r="J22" t="s">
        <v>288</v>
      </c>
      <c r="M22">
        <v>80</v>
      </c>
      <c r="N22" s="2">
        <v>4500</v>
      </c>
    </row>
    <row r="23" spans="1:17" x14ac:dyDescent="0.25">
      <c r="A23" s="1">
        <v>45234</v>
      </c>
      <c r="B23" t="s">
        <v>211</v>
      </c>
      <c r="C23" t="s">
        <v>58</v>
      </c>
      <c r="D23" t="s">
        <v>83</v>
      </c>
      <c r="E23" t="s">
        <v>64</v>
      </c>
      <c r="F23" t="s">
        <v>44</v>
      </c>
      <c r="G23" t="s">
        <v>4</v>
      </c>
      <c r="H23">
        <v>1</v>
      </c>
      <c r="I23">
        <v>1</v>
      </c>
      <c r="J23" t="s">
        <v>50</v>
      </c>
      <c r="K23">
        <v>0.9</v>
      </c>
      <c r="L23">
        <v>2.1</v>
      </c>
      <c r="M23">
        <v>61</v>
      </c>
      <c r="N23" s="2">
        <v>19023</v>
      </c>
      <c r="P23" s="1"/>
      <c r="Q23" s="1"/>
    </row>
    <row r="24" spans="1:17" x14ac:dyDescent="0.25">
      <c r="A24" s="1">
        <v>45238</v>
      </c>
      <c r="B24" t="s">
        <v>161</v>
      </c>
      <c r="C24" t="s">
        <v>118</v>
      </c>
      <c r="D24" t="s">
        <v>119</v>
      </c>
      <c r="E24" t="s">
        <v>92</v>
      </c>
      <c r="F24" t="s">
        <v>44</v>
      </c>
      <c r="G24" t="s">
        <v>19</v>
      </c>
      <c r="H24">
        <v>0</v>
      </c>
      <c r="I24">
        <v>2</v>
      </c>
      <c r="J24" t="s">
        <v>286</v>
      </c>
      <c r="K24">
        <v>0</v>
      </c>
      <c r="L24">
        <v>1.5</v>
      </c>
      <c r="M24">
        <v>38</v>
      </c>
      <c r="N24" s="2">
        <v>60024</v>
      </c>
      <c r="Q24" s="1"/>
    </row>
    <row r="25" spans="1:17" x14ac:dyDescent="0.25">
      <c r="A25" s="1">
        <v>45242</v>
      </c>
      <c r="B25" t="s">
        <v>157</v>
      </c>
      <c r="C25" t="s">
        <v>58</v>
      </c>
      <c r="D25" t="s">
        <v>84</v>
      </c>
      <c r="E25" t="s">
        <v>62</v>
      </c>
      <c r="F25" t="s">
        <v>43</v>
      </c>
      <c r="G25" t="s">
        <v>4</v>
      </c>
      <c r="H25">
        <v>1</v>
      </c>
      <c r="I25">
        <v>1</v>
      </c>
      <c r="J25" t="s">
        <v>11</v>
      </c>
      <c r="K25">
        <v>0.7</v>
      </c>
      <c r="L25">
        <v>1.8</v>
      </c>
      <c r="M25">
        <v>61</v>
      </c>
      <c r="N25" s="2">
        <v>42222</v>
      </c>
    </row>
    <row r="26" spans="1:17" x14ac:dyDescent="0.25">
      <c r="A26" s="1">
        <v>45256</v>
      </c>
      <c r="B26" t="s">
        <v>153</v>
      </c>
      <c r="C26" t="s">
        <v>58</v>
      </c>
      <c r="D26" t="s">
        <v>86</v>
      </c>
      <c r="E26" t="s">
        <v>62</v>
      </c>
      <c r="F26" t="s">
        <v>44</v>
      </c>
      <c r="G26" t="s">
        <v>19</v>
      </c>
      <c r="H26">
        <v>1</v>
      </c>
      <c r="I26">
        <v>2</v>
      </c>
      <c r="J26" t="s">
        <v>49</v>
      </c>
      <c r="K26">
        <v>0.6</v>
      </c>
      <c r="L26">
        <v>0.7</v>
      </c>
      <c r="M26">
        <v>51</v>
      </c>
      <c r="N26" s="2">
        <v>33879</v>
      </c>
      <c r="Q26" s="1"/>
    </row>
    <row r="27" spans="1:17" x14ac:dyDescent="0.25">
      <c r="A27" s="1">
        <v>45259</v>
      </c>
      <c r="B27" t="s">
        <v>251</v>
      </c>
      <c r="C27" t="s">
        <v>118</v>
      </c>
      <c r="D27" t="s">
        <v>119</v>
      </c>
      <c r="E27" t="s">
        <v>92</v>
      </c>
      <c r="F27" t="s">
        <v>43</v>
      </c>
      <c r="G27" t="s">
        <v>19</v>
      </c>
      <c r="H27">
        <v>2</v>
      </c>
      <c r="I27">
        <v>3</v>
      </c>
      <c r="J27" t="s">
        <v>274</v>
      </c>
      <c r="K27">
        <v>1.8</v>
      </c>
      <c r="L27">
        <v>2.2000000000000002</v>
      </c>
      <c r="M27">
        <v>40</v>
      </c>
      <c r="N27" s="2">
        <v>29403</v>
      </c>
      <c r="P27" s="1"/>
    </row>
    <row r="28" spans="1:17" x14ac:dyDescent="0.25">
      <c r="A28" s="1">
        <v>45263</v>
      </c>
      <c r="B28" t="s">
        <v>157</v>
      </c>
      <c r="C28" t="s">
        <v>58</v>
      </c>
      <c r="D28" t="s">
        <v>87</v>
      </c>
      <c r="E28" t="s">
        <v>62</v>
      </c>
      <c r="F28" t="s">
        <v>43</v>
      </c>
      <c r="G28" t="s">
        <v>4</v>
      </c>
      <c r="H28">
        <v>1</v>
      </c>
      <c r="I28">
        <v>1</v>
      </c>
      <c r="J28" t="s">
        <v>10</v>
      </c>
      <c r="K28">
        <v>1.8</v>
      </c>
      <c r="L28">
        <v>1.2</v>
      </c>
      <c r="M28">
        <v>57</v>
      </c>
      <c r="N28" s="2">
        <v>33898</v>
      </c>
      <c r="P28" s="1"/>
      <c r="Q28" s="1"/>
    </row>
    <row r="29" spans="1:17" x14ac:dyDescent="0.25">
      <c r="A29" s="1">
        <v>45266</v>
      </c>
      <c r="B29" t="s">
        <v>181</v>
      </c>
      <c r="C29" t="s">
        <v>76</v>
      </c>
      <c r="D29" t="s">
        <v>126</v>
      </c>
      <c r="E29" t="s">
        <v>92</v>
      </c>
      <c r="F29" t="s">
        <v>44</v>
      </c>
      <c r="G29" t="s">
        <v>18</v>
      </c>
      <c r="H29">
        <v>2</v>
      </c>
      <c r="I29">
        <v>0</v>
      </c>
      <c r="J29" t="s">
        <v>289</v>
      </c>
      <c r="M29">
        <v>67</v>
      </c>
      <c r="N29" s="2">
        <v>2050</v>
      </c>
      <c r="P29" s="1"/>
      <c r="Q29" s="1"/>
    </row>
    <row r="30" spans="1:17" x14ac:dyDescent="0.25">
      <c r="A30" s="1">
        <v>45269</v>
      </c>
      <c r="B30" t="s">
        <v>181</v>
      </c>
      <c r="C30" t="s">
        <v>58</v>
      </c>
      <c r="D30" t="s">
        <v>88</v>
      </c>
      <c r="E30" t="s">
        <v>64</v>
      </c>
      <c r="F30" t="s">
        <v>44</v>
      </c>
      <c r="G30" t="s">
        <v>19</v>
      </c>
      <c r="H30">
        <v>0</v>
      </c>
      <c r="I30">
        <v>1</v>
      </c>
      <c r="J30" t="s">
        <v>7</v>
      </c>
      <c r="K30">
        <v>0.6</v>
      </c>
      <c r="L30">
        <v>0.5</v>
      </c>
      <c r="M30">
        <v>65</v>
      </c>
      <c r="N30" s="2">
        <v>16041</v>
      </c>
      <c r="P30" s="1"/>
    </row>
    <row r="31" spans="1:17" x14ac:dyDescent="0.25">
      <c r="A31" s="1">
        <v>45272</v>
      </c>
      <c r="B31" t="s">
        <v>251</v>
      </c>
      <c r="C31" t="s">
        <v>118</v>
      </c>
      <c r="D31" t="s">
        <v>119</v>
      </c>
      <c r="E31" t="s">
        <v>69</v>
      </c>
      <c r="F31" t="s">
        <v>44</v>
      </c>
      <c r="G31" t="s">
        <v>19</v>
      </c>
      <c r="H31">
        <v>1</v>
      </c>
      <c r="I31">
        <v>2</v>
      </c>
      <c r="J31" t="s">
        <v>285</v>
      </c>
      <c r="K31">
        <v>1.3</v>
      </c>
      <c r="L31">
        <v>1.4</v>
      </c>
      <c r="M31">
        <v>65</v>
      </c>
      <c r="N31" s="2">
        <v>37456</v>
      </c>
    </row>
    <row r="32" spans="1:17" x14ac:dyDescent="0.25">
      <c r="A32" s="1">
        <v>45276</v>
      </c>
      <c r="B32" t="s">
        <v>157</v>
      </c>
      <c r="C32" t="s">
        <v>58</v>
      </c>
      <c r="D32" t="s">
        <v>90</v>
      </c>
      <c r="E32" t="s">
        <v>64</v>
      </c>
      <c r="F32" t="s">
        <v>43</v>
      </c>
      <c r="G32" t="s">
        <v>19</v>
      </c>
      <c r="H32">
        <v>0</v>
      </c>
      <c r="I32">
        <v>3</v>
      </c>
      <c r="J32" t="s">
        <v>12</v>
      </c>
      <c r="K32">
        <v>1</v>
      </c>
      <c r="L32">
        <v>2.4</v>
      </c>
      <c r="M32">
        <v>57</v>
      </c>
      <c r="N32" s="2">
        <v>30005</v>
      </c>
      <c r="P32" s="1"/>
      <c r="Q32" s="1"/>
    </row>
    <row r="33" spans="1:17" x14ac:dyDescent="0.25">
      <c r="A33" s="1">
        <v>45279</v>
      </c>
      <c r="B33" t="s">
        <v>160</v>
      </c>
      <c r="C33" t="s">
        <v>58</v>
      </c>
      <c r="D33" t="s">
        <v>93</v>
      </c>
      <c r="E33" t="s">
        <v>69</v>
      </c>
      <c r="F33" t="s">
        <v>44</v>
      </c>
      <c r="G33" t="s">
        <v>18</v>
      </c>
      <c r="H33">
        <v>3</v>
      </c>
      <c r="I33">
        <v>0</v>
      </c>
      <c r="J33" t="s">
        <v>14</v>
      </c>
      <c r="K33">
        <v>0.5</v>
      </c>
      <c r="L33">
        <v>0.9</v>
      </c>
      <c r="M33">
        <v>48</v>
      </c>
      <c r="N33" s="2">
        <v>16534</v>
      </c>
      <c r="P33" s="1"/>
    </row>
    <row r="34" spans="1:17" x14ac:dyDescent="0.25">
      <c r="A34" s="1">
        <v>45283</v>
      </c>
      <c r="B34" t="s">
        <v>153</v>
      </c>
      <c r="C34" t="s">
        <v>58</v>
      </c>
      <c r="D34" t="s">
        <v>66</v>
      </c>
      <c r="E34" t="s">
        <v>64</v>
      </c>
      <c r="F34" t="s">
        <v>44</v>
      </c>
      <c r="G34" t="s">
        <v>19</v>
      </c>
      <c r="H34">
        <v>0</v>
      </c>
      <c r="I34">
        <v>1</v>
      </c>
      <c r="J34" t="s">
        <v>65</v>
      </c>
      <c r="K34">
        <v>0.3</v>
      </c>
      <c r="L34">
        <v>0.9</v>
      </c>
      <c r="M34">
        <v>50</v>
      </c>
      <c r="N34" s="2">
        <v>64308</v>
      </c>
      <c r="P34" s="1"/>
      <c r="Q34" s="1"/>
    </row>
    <row r="35" spans="1:17" x14ac:dyDescent="0.25">
      <c r="A35" s="1">
        <v>45295</v>
      </c>
      <c r="B35" t="s">
        <v>273</v>
      </c>
      <c r="C35" t="s">
        <v>58</v>
      </c>
      <c r="D35" t="s">
        <v>94</v>
      </c>
      <c r="E35" t="s">
        <v>85</v>
      </c>
      <c r="F35" t="s">
        <v>43</v>
      </c>
      <c r="G35" t="s">
        <v>19</v>
      </c>
      <c r="H35">
        <v>0</v>
      </c>
      <c r="I35">
        <v>2</v>
      </c>
      <c r="J35" t="s">
        <v>73</v>
      </c>
      <c r="K35">
        <v>0.7</v>
      </c>
      <c r="L35">
        <v>1.3</v>
      </c>
      <c r="M35">
        <v>61</v>
      </c>
      <c r="N35" s="2">
        <v>28366</v>
      </c>
      <c r="P35" s="1"/>
    </row>
    <row r="36" spans="1:17" x14ac:dyDescent="0.25">
      <c r="A36" s="1">
        <v>45298</v>
      </c>
      <c r="B36" t="s">
        <v>228</v>
      </c>
      <c r="C36" t="s">
        <v>76</v>
      </c>
      <c r="D36" t="s">
        <v>77</v>
      </c>
      <c r="E36" t="s">
        <v>62</v>
      </c>
      <c r="F36" t="s">
        <v>44</v>
      </c>
      <c r="G36" t="s">
        <v>18</v>
      </c>
      <c r="H36">
        <v>2</v>
      </c>
      <c r="I36">
        <v>1</v>
      </c>
      <c r="J36" t="s">
        <v>290</v>
      </c>
      <c r="M36">
        <v>58</v>
      </c>
      <c r="N36" s="2">
        <v>11011</v>
      </c>
      <c r="P36" s="1"/>
    </row>
    <row r="37" spans="1:17" x14ac:dyDescent="0.25">
      <c r="A37" s="1">
        <v>45303</v>
      </c>
      <c r="B37" t="s">
        <v>181</v>
      </c>
      <c r="C37" t="s">
        <v>58</v>
      </c>
      <c r="D37" t="s">
        <v>97</v>
      </c>
      <c r="E37" t="s">
        <v>60</v>
      </c>
      <c r="F37" t="s">
        <v>43</v>
      </c>
      <c r="G37" t="s">
        <v>19</v>
      </c>
      <c r="H37">
        <v>2</v>
      </c>
      <c r="I37">
        <v>3</v>
      </c>
      <c r="J37" t="s">
        <v>80</v>
      </c>
      <c r="K37">
        <v>2.2000000000000002</v>
      </c>
      <c r="L37">
        <v>2</v>
      </c>
      <c r="M37">
        <v>68</v>
      </c>
      <c r="N37" s="2">
        <v>34225</v>
      </c>
      <c r="P37" s="1"/>
    </row>
    <row r="38" spans="1:17" x14ac:dyDescent="0.25">
      <c r="A38" t="s">
        <v>0</v>
      </c>
      <c r="B38" t="s">
        <v>1</v>
      </c>
      <c r="C38" t="s">
        <v>16</v>
      </c>
      <c r="D38" t="s">
        <v>51</v>
      </c>
      <c r="E38" t="s">
        <v>52</v>
      </c>
      <c r="F38" t="s">
        <v>53</v>
      </c>
      <c r="G38" t="s">
        <v>54</v>
      </c>
      <c r="H38" t="s">
        <v>20</v>
      </c>
      <c r="I38" t="s">
        <v>21</v>
      </c>
      <c r="J38" t="s">
        <v>45</v>
      </c>
      <c r="K38" t="s">
        <v>55</v>
      </c>
      <c r="L38" t="s">
        <v>56</v>
      </c>
      <c r="M38" t="s">
        <v>57</v>
      </c>
      <c r="N38" t="s">
        <v>24</v>
      </c>
    </row>
    <row r="39" spans="1:17" x14ac:dyDescent="0.25">
      <c r="A39" s="1">
        <v>45307</v>
      </c>
      <c r="B39" t="s">
        <v>155</v>
      </c>
      <c r="C39" t="s">
        <v>76</v>
      </c>
      <c r="D39" t="s">
        <v>91</v>
      </c>
      <c r="E39" t="s">
        <v>69</v>
      </c>
      <c r="F39" t="s">
        <v>44</v>
      </c>
      <c r="G39" t="s">
        <v>18</v>
      </c>
      <c r="H39">
        <v>3</v>
      </c>
      <c r="I39">
        <v>1</v>
      </c>
      <c r="J39" t="s">
        <v>12</v>
      </c>
      <c r="M39">
        <v>34</v>
      </c>
      <c r="N39" s="2">
        <v>12581</v>
      </c>
      <c r="P39" s="1"/>
      <c r="Q39" s="1"/>
    </row>
    <row r="40" spans="1:17" x14ac:dyDescent="0.25">
      <c r="A40" s="1">
        <v>45312</v>
      </c>
      <c r="B40" t="s">
        <v>181</v>
      </c>
      <c r="C40" t="s">
        <v>58</v>
      </c>
      <c r="D40" t="s">
        <v>98</v>
      </c>
      <c r="E40" t="s">
        <v>62</v>
      </c>
      <c r="F40" t="s">
        <v>44</v>
      </c>
      <c r="G40" t="s">
        <v>19</v>
      </c>
      <c r="H40">
        <v>1</v>
      </c>
      <c r="I40">
        <v>5</v>
      </c>
      <c r="J40" t="s">
        <v>5</v>
      </c>
      <c r="K40">
        <v>0.7</v>
      </c>
      <c r="L40">
        <v>2.2999999999999998</v>
      </c>
      <c r="M40">
        <v>45</v>
      </c>
      <c r="N40" s="2">
        <v>13092</v>
      </c>
      <c r="P40" s="1"/>
      <c r="Q40" s="1"/>
    </row>
    <row r="41" spans="1:17" x14ac:dyDescent="0.25">
      <c r="A41" s="1">
        <v>45316</v>
      </c>
      <c r="B41" t="s">
        <v>181</v>
      </c>
      <c r="C41" t="s">
        <v>76</v>
      </c>
      <c r="D41" t="s">
        <v>96</v>
      </c>
      <c r="E41" t="s">
        <v>85</v>
      </c>
      <c r="F41" t="s">
        <v>44</v>
      </c>
      <c r="G41" t="s">
        <v>19</v>
      </c>
      <c r="H41">
        <v>0</v>
      </c>
      <c r="I41">
        <v>1</v>
      </c>
      <c r="J41" t="s">
        <v>65</v>
      </c>
      <c r="M41">
        <v>43</v>
      </c>
      <c r="N41" s="2">
        <v>60169</v>
      </c>
      <c r="P41" s="1"/>
      <c r="Q41" s="1"/>
    </row>
    <row r="42" spans="1:17" x14ac:dyDescent="0.25">
      <c r="A42" s="1">
        <v>45319</v>
      </c>
      <c r="B42" t="s">
        <v>157</v>
      </c>
      <c r="C42" t="s">
        <v>58</v>
      </c>
      <c r="D42" t="s">
        <v>100</v>
      </c>
      <c r="E42" t="s">
        <v>62</v>
      </c>
      <c r="F42" t="s">
        <v>43</v>
      </c>
      <c r="G42" t="s">
        <v>4</v>
      </c>
      <c r="H42">
        <v>1</v>
      </c>
      <c r="I42">
        <v>1</v>
      </c>
      <c r="J42" t="s">
        <v>9</v>
      </c>
      <c r="K42">
        <v>0.8</v>
      </c>
      <c r="L42">
        <v>1.2</v>
      </c>
      <c r="M42">
        <v>44</v>
      </c>
      <c r="N42" s="2">
        <v>36640</v>
      </c>
      <c r="P42" s="1"/>
      <c r="Q42" s="1"/>
    </row>
    <row r="43" spans="1:17" x14ac:dyDescent="0.25">
      <c r="A43" s="1">
        <v>45327</v>
      </c>
      <c r="B43" t="s">
        <v>181</v>
      </c>
      <c r="C43" t="s">
        <v>58</v>
      </c>
      <c r="D43" t="s">
        <v>101</v>
      </c>
      <c r="E43" t="s">
        <v>117</v>
      </c>
      <c r="F43" t="s">
        <v>44</v>
      </c>
      <c r="G43" t="s">
        <v>18</v>
      </c>
      <c r="H43">
        <v>2</v>
      </c>
      <c r="I43">
        <v>1</v>
      </c>
      <c r="J43" t="s">
        <v>46</v>
      </c>
      <c r="K43">
        <v>1.3</v>
      </c>
      <c r="L43">
        <v>1.8</v>
      </c>
      <c r="M43">
        <v>34</v>
      </c>
      <c r="N43" s="2">
        <v>12546</v>
      </c>
      <c r="P43" s="1"/>
      <c r="Q43" s="1"/>
    </row>
    <row r="44" spans="1:17" x14ac:dyDescent="0.25">
      <c r="A44" s="1">
        <v>45333</v>
      </c>
      <c r="B44" t="s">
        <v>157</v>
      </c>
      <c r="C44" t="s">
        <v>58</v>
      </c>
      <c r="D44" t="s">
        <v>102</v>
      </c>
      <c r="E44" t="s">
        <v>62</v>
      </c>
      <c r="F44" t="s">
        <v>43</v>
      </c>
      <c r="G44" t="s">
        <v>18</v>
      </c>
      <c r="H44">
        <v>1</v>
      </c>
      <c r="I44">
        <v>0</v>
      </c>
      <c r="J44" t="s">
        <v>65</v>
      </c>
      <c r="K44">
        <v>1</v>
      </c>
      <c r="L44">
        <v>1.5</v>
      </c>
      <c r="M44">
        <v>39</v>
      </c>
      <c r="N44" s="2">
        <v>31528</v>
      </c>
      <c r="P44" s="1"/>
      <c r="Q44" s="1"/>
    </row>
    <row r="45" spans="1:17" x14ac:dyDescent="0.25">
      <c r="A45" s="1">
        <v>45339</v>
      </c>
      <c r="B45" t="s">
        <v>181</v>
      </c>
      <c r="C45" t="s">
        <v>58</v>
      </c>
      <c r="D45" t="s">
        <v>103</v>
      </c>
      <c r="E45" t="s">
        <v>64</v>
      </c>
      <c r="F45" t="s">
        <v>44</v>
      </c>
      <c r="G45" t="s">
        <v>4</v>
      </c>
      <c r="H45">
        <v>0</v>
      </c>
      <c r="I45">
        <v>0</v>
      </c>
      <c r="J45" t="s">
        <v>3</v>
      </c>
      <c r="K45">
        <v>0</v>
      </c>
      <c r="L45">
        <v>1</v>
      </c>
      <c r="M45">
        <v>46</v>
      </c>
      <c r="N45" s="2">
        <v>44506</v>
      </c>
      <c r="P45" s="1"/>
      <c r="Q45" s="1"/>
    </row>
    <row r="46" spans="1:17" x14ac:dyDescent="0.25">
      <c r="A46" s="1">
        <v>45347</v>
      </c>
      <c r="B46" t="s">
        <v>181</v>
      </c>
      <c r="C46" t="s">
        <v>58</v>
      </c>
      <c r="D46" t="s">
        <v>104</v>
      </c>
      <c r="E46" t="s">
        <v>62</v>
      </c>
      <c r="F46" t="s">
        <v>44</v>
      </c>
      <c r="G46" t="s">
        <v>19</v>
      </c>
      <c r="H46">
        <v>0</v>
      </c>
      <c r="I46">
        <v>1</v>
      </c>
      <c r="J46" t="s">
        <v>8</v>
      </c>
      <c r="K46">
        <v>0.8</v>
      </c>
      <c r="L46">
        <v>1</v>
      </c>
      <c r="M46">
        <v>36</v>
      </c>
      <c r="N46" s="2">
        <v>74969</v>
      </c>
      <c r="P46" s="1"/>
      <c r="Q46" s="1"/>
    </row>
    <row r="47" spans="1:17" x14ac:dyDescent="0.25">
      <c r="A47" s="1">
        <v>45353</v>
      </c>
      <c r="B47" t="s">
        <v>212</v>
      </c>
      <c r="C47" t="s">
        <v>58</v>
      </c>
      <c r="D47" t="s">
        <v>105</v>
      </c>
      <c r="E47" t="s">
        <v>64</v>
      </c>
      <c r="F47" t="s">
        <v>43</v>
      </c>
      <c r="G47" t="s">
        <v>18</v>
      </c>
      <c r="H47">
        <v>3</v>
      </c>
      <c r="I47">
        <v>2</v>
      </c>
      <c r="J47" t="s">
        <v>49</v>
      </c>
      <c r="K47">
        <v>2</v>
      </c>
      <c r="L47">
        <v>1.5</v>
      </c>
      <c r="M47">
        <v>39</v>
      </c>
      <c r="N47" s="2">
        <v>35884</v>
      </c>
      <c r="P47" s="1"/>
    </row>
    <row r="48" spans="1:17" x14ac:dyDescent="0.25">
      <c r="A48" s="1">
        <v>45362</v>
      </c>
      <c r="B48" t="s">
        <v>198</v>
      </c>
      <c r="C48" t="s">
        <v>58</v>
      </c>
      <c r="D48" t="s">
        <v>106</v>
      </c>
      <c r="E48" t="s">
        <v>117</v>
      </c>
      <c r="F48" t="s">
        <v>44</v>
      </c>
      <c r="G48" t="s">
        <v>4</v>
      </c>
      <c r="H48">
        <v>2</v>
      </c>
      <c r="I48">
        <v>2</v>
      </c>
      <c r="J48" t="s">
        <v>128</v>
      </c>
      <c r="K48">
        <v>2.4</v>
      </c>
      <c r="L48">
        <v>2</v>
      </c>
      <c r="M48">
        <v>56</v>
      </c>
      <c r="N48" s="2">
        <v>13095</v>
      </c>
      <c r="P48" s="1"/>
    </row>
    <row r="49" spans="1:17" x14ac:dyDescent="0.25">
      <c r="A49" s="1">
        <v>45368</v>
      </c>
      <c r="B49" t="s">
        <v>263</v>
      </c>
      <c r="C49" t="s">
        <v>58</v>
      </c>
      <c r="D49" t="s">
        <v>107</v>
      </c>
      <c r="E49" t="s">
        <v>62</v>
      </c>
      <c r="F49" t="s">
        <v>43</v>
      </c>
      <c r="G49" t="s">
        <v>19</v>
      </c>
      <c r="H49">
        <v>1</v>
      </c>
      <c r="I49">
        <v>2</v>
      </c>
      <c r="J49" t="s">
        <v>50</v>
      </c>
      <c r="K49">
        <v>1.7</v>
      </c>
      <c r="L49">
        <v>1.6</v>
      </c>
      <c r="M49">
        <v>36</v>
      </c>
      <c r="N49" s="2">
        <v>36544</v>
      </c>
      <c r="P49" s="1"/>
      <c r="Q49" s="1"/>
    </row>
    <row r="50" spans="1:17" x14ac:dyDescent="0.25">
      <c r="A50" s="1">
        <v>45381</v>
      </c>
      <c r="B50" t="s">
        <v>263</v>
      </c>
      <c r="C50" t="s">
        <v>58</v>
      </c>
      <c r="D50" t="s">
        <v>108</v>
      </c>
      <c r="E50" t="s">
        <v>64</v>
      </c>
      <c r="F50" t="s">
        <v>44</v>
      </c>
      <c r="G50" t="s">
        <v>18</v>
      </c>
      <c r="H50">
        <v>1</v>
      </c>
      <c r="I50">
        <v>0</v>
      </c>
      <c r="J50" t="s">
        <v>12</v>
      </c>
      <c r="K50">
        <v>0.8</v>
      </c>
      <c r="L50">
        <v>1.6</v>
      </c>
      <c r="M50">
        <v>34</v>
      </c>
      <c r="N50" s="2">
        <v>10139</v>
      </c>
      <c r="P50" s="1"/>
    </row>
    <row r="51" spans="1:17" x14ac:dyDescent="0.25">
      <c r="A51" s="1">
        <v>45396</v>
      </c>
      <c r="B51" t="s">
        <v>159</v>
      </c>
      <c r="C51" t="s">
        <v>58</v>
      </c>
      <c r="D51" t="s">
        <v>109</v>
      </c>
      <c r="E51" t="s">
        <v>62</v>
      </c>
      <c r="F51" t="s">
        <v>44</v>
      </c>
      <c r="G51" t="s">
        <v>18</v>
      </c>
      <c r="H51">
        <v>2</v>
      </c>
      <c r="I51">
        <v>0</v>
      </c>
      <c r="J51" t="s">
        <v>6</v>
      </c>
      <c r="K51">
        <v>2.1</v>
      </c>
      <c r="L51">
        <v>0.1</v>
      </c>
      <c r="M51">
        <v>37</v>
      </c>
      <c r="N51" s="2">
        <v>23698</v>
      </c>
      <c r="P51" s="1"/>
      <c r="Q51" s="1"/>
    </row>
    <row r="52" spans="1:17" x14ac:dyDescent="0.25">
      <c r="A52" s="1">
        <v>45404</v>
      </c>
      <c r="B52" t="s">
        <v>181</v>
      </c>
      <c r="C52" t="s">
        <v>58</v>
      </c>
      <c r="D52" t="s">
        <v>110</v>
      </c>
      <c r="E52" t="s">
        <v>117</v>
      </c>
      <c r="F52" t="s">
        <v>43</v>
      </c>
      <c r="G52" t="s">
        <v>18</v>
      </c>
      <c r="H52">
        <v>2</v>
      </c>
      <c r="I52">
        <v>1</v>
      </c>
      <c r="J52" t="s">
        <v>7</v>
      </c>
      <c r="K52">
        <v>1.1000000000000001</v>
      </c>
      <c r="L52">
        <v>0.7</v>
      </c>
      <c r="M52">
        <v>54</v>
      </c>
      <c r="N52" s="2">
        <v>35203</v>
      </c>
      <c r="P52" s="1"/>
      <c r="Q52" s="1"/>
    </row>
    <row r="53" spans="1:17" x14ac:dyDescent="0.25">
      <c r="A53" s="1">
        <v>45410</v>
      </c>
      <c r="B53" t="s">
        <v>181</v>
      </c>
      <c r="C53" t="s">
        <v>58</v>
      </c>
      <c r="D53" t="s">
        <v>111</v>
      </c>
      <c r="E53" t="s">
        <v>62</v>
      </c>
      <c r="F53" t="s">
        <v>44</v>
      </c>
      <c r="G53" t="s">
        <v>4</v>
      </c>
      <c r="H53">
        <v>1</v>
      </c>
      <c r="I53">
        <v>1</v>
      </c>
      <c r="J53" t="s">
        <v>11</v>
      </c>
      <c r="K53">
        <v>1.4</v>
      </c>
      <c r="L53">
        <v>1.8</v>
      </c>
      <c r="M53">
        <v>50</v>
      </c>
      <c r="N53" s="2">
        <v>55770</v>
      </c>
      <c r="P53" s="1"/>
    </row>
    <row r="54" spans="1:17" x14ac:dyDescent="0.25">
      <c r="A54" s="1">
        <v>45417</v>
      </c>
      <c r="B54" t="s">
        <v>181</v>
      </c>
      <c r="C54" t="s">
        <v>58</v>
      </c>
      <c r="D54" t="s">
        <v>112</v>
      </c>
      <c r="E54" t="s">
        <v>62</v>
      </c>
      <c r="F54" t="s">
        <v>43</v>
      </c>
      <c r="G54" t="s">
        <v>18</v>
      </c>
      <c r="H54">
        <v>3</v>
      </c>
      <c r="I54">
        <v>0</v>
      </c>
      <c r="J54" t="s">
        <v>14</v>
      </c>
      <c r="K54">
        <v>1.7</v>
      </c>
      <c r="L54">
        <v>0.4</v>
      </c>
      <c r="M54">
        <v>60</v>
      </c>
      <c r="N54" s="2">
        <v>32658</v>
      </c>
      <c r="P54" s="1"/>
      <c r="Q54" s="1"/>
    </row>
    <row r="55" spans="1:17" x14ac:dyDescent="0.25">
      <c r="A55" s="1">
        <v>45423</v>
      </c>
      <c r="B55" t="s">
        <v>153</v>
      </c>
      <c r="C55" t="s">
        <v>58</v>
      </c>
      <c r="D55" t="s">
        <v>113</v>
      </c>
      <c r="E55" t="s">
        <v>64</v>
      </c>
      <c r="F55" t="s">
        <v>44</v>
      </c>
      <c r="G55" t="s">
        <v>19</v>
      </c>
      <c r="H55">
        <v>2</v>
      </c>
      <c r="I55">
        <v>3</v>
      </c>
      <c r="J55" t="s">
        <v>10</v>
      </c>
      <c r="K55">
        <v>1.7</v>
      </c>
      <c r="L55">
        <v>3.1</v>
      </c>
      <c r="M55">
        <v>41</v>
      </c>
      <c r="N55" s="2">
        <v>16862</v>
      </c>
      <c r="P55" s="1"/>
      <c r="Q55" s="1"/>
    </row>
    <row r="56" spans="1:17" x14ac:dyDescent="0.25">
      <c r="A56" s="1">
        <v>45427</v>
      </c>
      <c r="B56" t="s">
        <v>166</v>
      </c>
      <c r="C56" t="s">
        <v>58</v>
      </c>
      <c r="D56" t="s">
        <v>114</v>
      </c>
      <c r="E56" t="s">
        <v>92</v>
      </c>
      <c r="F56" t="s">
        <v>43</v>
      </c>
      <c r="G56" t="s">
        <v>19</v>
      </c>
      <c r="H56">
        <v>0</v>
      </c>
      <c r="I56">
        <v>1</v>
      </c>
      <c r="J56" t="s">
        <v>125</v>
      </c>
      <c r="K56">
        <v>1.3</v>
      </c>
      <c r="L56">
        <v>2.5</v>
      </c>
      <c r="M56">
        <v>56</v>
      </c>
      <c r="N56" s="2">
        <v>35805</v>
      </c>
      <c r="P56" s="1"/>
      <c r="Q56" s="1"/>
    </row>
    <row r="57" spans="1:17" x14ac:dyDescent="0.25">
      <c r="A57" s="1">
        <v>45431</v>
      </c>
      <c r="B57" t="s">
        <v>162</v>
      </c>
      <c r="C57" t="s">
        <v>58</v>
      </c>
      <c r="D57" t="s">
        <v>115</v>
      </c>
      <c r="E57" t="s">
        <v>62</v>
      </c>
      <c r="F57" t="s">
        <v>44</v>
      </c>
      <c r="G57" t="s">
        <v>19</v>
      </c>
      <c r="H57">
        <v>0</v>
      </c>
      <c r="I57">
        <v>2</v>
      </c>
      <c r="J57" t="s">
        <v>73</v>
      </c>
      <c r="K57">
        <v>0.9</v>
      </c>
      <c r="L57">
        <v>1.6</v>
      </c>
      <c r="M57">
        <v>47</v>
      </c>
      <c r="N57" s="2">
        <v>44717</v>
      </c>
      <c r="P57" s="1"/>
    </row>
    <row r="58" spans="1:17" x14ac:dyDescent="0.25">
      <c r="A58" s="1">
        <v>45438</v>
      </c>
      <c r="B58" t="s">
        <v>181</v>
      </c>
      <c r="C58" t="s">
        <v>58</v>
      </c>
      <c r="D58" t="s">
        <v>116</v>
      </c>
      <c r="E58" t="s">
        <v>62</v>
      </c>
      <c r="F58" t="s">
        <v>43</v>
      </c>
      <c r="G58" t="s">
        <v>19</v>
      </c>
      <c r="H58">
        <v>1</v>
      </c>
      <c r="I58">
        <v>2</v>
      </c>
      <c r="J58" t="s">
        <v>13</v>
      </c>
      <c r="K58">
        <v>1.5</v>
      </c>
      <c r="L58">
        <v>1.3</v>
      </c>
      <c r="M58">
        <v>39</v>
      </c>
      <c r="N58" s="2">
        <v>34888</v>
      </c>
      <c r="P58" s="1"/>
      <c r="Q58" s="1"/>
    </row>
    <row r="60" spans="1:17" x14ac:dyDescent="0.25">
      <c r="A60" t="s">
        <v>291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29CA5-985C-4072-9469-E15A97D010B9}">
  <dimension ref="A1:Q24"/>
  <sheetViews>
    <sheetView workbookViewId="0">
      <selection activeCell="M27" sqref="M27"/>
    </sheetView>
  </sheetViews>
  <sheetFormatPr defaultRowHeight="15" x14ac:dyDescent="0.25"/>
  <cols>
    <col min="1" max="1" width="11.42578125" customWidth="1"/>
  </cols>
  <sheetData>
    <row r="1" spans="1:17" x14ac:dyDescent="0.25">
      <c r="A1" t="s">
        <v>524</v>
      </c>
    </row>
    <row r="2" spans="1:17" x14ac:dyDescent="0.25">
      <c r="A2" t="s">
        <v>525</v>
      </c>
    </row>
    <row r="3" spans="1:17" x14ac:dyDescent="0.25">
      <c r="A3" t="s">
        <v>526</v>
      </c>
    </row>
    <row r="4" spans="1:17" x14ac:dyDescent="0.25">
      <c r="A4" t="s">
        <v>527</v>
      </c>
    </row>
    <row r="8" spans="1:17" x14ac:dyDescent="0.25">
      <c r="A8" t="s">
        <v>0</v>
      </c>
      <c r="B8" t="s">
        <v>1</v>
      </c>
      <c r="C8" t="s">
        <v>16</v>
      </c>
      <c r="D8" t="s">
        <v>51</v>
      </c>
      <c r="E8" t="s">
        <v>52</v>
      </c>
      <c r="F8" t="s">
        <v>53</v>
      </c>
      <c r="G8" t="s">
        <v>54</v>
      </c>
      <c r="H8" t="s">
        <v>20</v>
      </c>
      <c r="I8" t="s">
        <v>21</v>
      </c>
      <c r="J8" t="s">
        <v>45</v>
      </c>
      <c r="K8" t="s">
        <v>55</v>
      </c>
      <c r="L8" t="s">
        <v>56</v>
      </c>
      <c r="M8" t="s">
        <v>57</v>
      </c>
      <c r="N8" t="s">
        <v>24</v>
      </c>
    </row>
    <row r="9" spans="1:17" x14ac:dyDescent="0.25">
      <c r="A9" s="1">
        <v>45520</v>
      </c>
      <c r="B9" t="s">
        <v>396</v>
      </c>
      <c r="C9" t="s">
        <v>58</v>
      </c>
      <c r="D9" t="s">
        <v>59</v>
      </c>
      <c r="E9" t="s">
        <v>60</v>
      </c>
      <c r="F9" t="s">
        <v>44</v>
      </c>
      <c r="G9" t="s">
        <v>4</v>
      </c>
      <c r="H9">
        <v>2</v>
      </c>
      <c r="I9">
        <v>2</v>
      </c>
      <c r="J9" t="s">
        <v>6</v>
      </c>
      <c r="K9">
        <v>1.8</v>
      </c>
      <c r="L9">
        <v>1.4</v>
      </c>
      <c r="M9">
        <v>52</v>
      </c>
      <c r="N9" s="2">
        <v>24843</v>
      </c>
    </row>
    <row r="10" spans="1:17" x14ac:dyDescent="0.25">
      <c r="A10" s="1">
        <v>45527</v>
      </c>
      <c r="B10" t="s">
        <v>160</v>
      </c>
      <c r="C10" t="s">
        <v>58</v>
      </c>
      <c r="D10" t="s">
        <v>61</v>
      </c>
      <c r="E10" t="s">
        <v>60</v>
      </c>
      <c r="F10" t="s">
        <v>43</v>
      </c>
      <c r="G10" t="s">
        <v>19</v>
      </c>
      <c r="H10">
        <v>1</v>
      </c>
      <c r="I10">
        <v>2</v>
      </c>
      <c r="J10" t="s">
        <v>10</v>
      </c>
      <c r="K10">
        <v>1</v>
      </c>
      <c r="L10">
        <v>0.9</v>
      </c>
      <c r="M10">
        <v>59</v>
      </c>
      <c r="N10" s="2">
        <v>34004</v>
      </c>
      <c r="P10" s="1"/>
      <c r="Q10" s="1"/>
    </row>
    <row r="11" spans="1:17" x14ac:dyDescent="0.25">
      <c r="A11" s="1">
        <v>45531</v>
      </c>
      <c r="B11" t="s">
        <v>162</v>
      </c>
      <c r="C11" t="s">
        <v>58</v>
      </c>
      <c r="D11" t="s">
        <v>63</v>
      </c>
      <c r="E11" t="s">
        <v>69</v>
      </c>
      <c r="F11" t="s">
        <v>44</v>
      </c>
      <c r="G11" t="s">
        <v>4</v>
      </c>
      <c r="H11">
        <v>0</v>
      </c>
      <c r="I11">
        <v>0</v>
      </c>
      <c r="J11" t="s">
        <v>7</v>
      </c>
      <c r="K11">
        <v>0.7</v>
      </c>
      <c r="L11">
        <v>0.9</v>
      </c>
      <c r="M11">
        <v>55</v>
      </c>
      <c r="N11" s="2">
        <v>20470</v>
      </c>
      <c r="P11" s="1"/>
      <c r="Q11" s="1"/>
    </row>
    <row r="12" spans="1:17" x14ac:dyDescent="0.25">
      <c r="A12" s="1">
        <v>45536</v>
      </c>
      <c r="B12" t="s">
        <v>162</v>
      </c>
      <c r="C12" t="s">
        <v>58</v>
      </c>
      <c r="D12" t="s">
        <v>66</v>
      </c>
      <c r="E12" t="s">
        <v>62</v>
      </c>
      <c r="F12" t="s">
        <v>43</v>
      </c>
      <c r="G12" t="s">
        <v>19</v>
      </c>
      <c r="H12">
        <v>0</v>
      </c>
      <c r="I12">
        <v>2</v>
      </c>
      <c r="J12" t="s">
        <v>5</v>
      </c>
      <c r="K12">
        <v>0.9</v>
      </c>
      <c r="L12">
        <v>1.9</v>
      </c>
      <c r="M12">
        <v>50</v>
      </c>
      <c r="N12" s="2">
        <v>35735</v>
      </c>
      <c r="Q12" s="1"/>
    </row>
    <row r="13" spans="1:17" x14ac:dyDescent="0.25">
      <c r="A13" s="1">
        <v>45549</v>
      </c>
      <c r="B13" t="s">
        <v>157</v>
      </c>
      <c r="C13" t="s">
        <v>58</v>
      </c>
      <c r="D13" t="s">
        <v>68</v>
      </c>
      <c r="E13" t="s">
        <v>64</v>
      </c>
      <c r="F13" t="s">
        <v>43</v>
      </c>
      <c r="G13" t="s">
        <v>18</v>
      </c>
      <c r="H13">
        <v>1</v>
      </c>
      <c r="I13">
        <v>0</v>
      </c>
      <c r="J13" t="s">
        <v>12</v>
      </c>
      <c r="K13">
        <v>1.4</v>
      </c>
      <c r="L13">
        <v>1</v>
      </c>
      <c r="M13">
        <v>60</v>
      </c>
      <c r="N13" s="2">
        <v>32643</v>
      </c>
      <c r="P13" s="1"/>
      <c r="Q13" s="1"/>
    </row>
    <row r="14" spans="1:17" x14ac:dyDescent="0.25">
      <c r="A14" s="1">
        <v>45555</v>
      </c>
      <c r="B14" t="s">
        <v>181</v>
      </c>
      <c r="C14" t="s">
        <v>58</v>
      </c>
      <c r="D14" t="s">
        <v>71</v>
      </c>
      <c r="E14" t="s">
        <v>60</v>
      </c>
      <c r="F14" t="s">
        <v>44</v>
      </c>
      <c r="G14" t="s">
        <v>19</v>
      </c>
      <c r="H14">
        <v>1</v>
      </c>
      <c r="I14">
        <v>2</v>
      </c>
      <c r="J14" t="s">
        <v>80</v>
      </c>
      <c r="K14">
        <v>0.5</v>
      </c>
      <c r="L14">
        <v>1.1000000000000001</v>
      </c>
      <c r="M14">
        <v>65</v>
      </c>
      <c r="N14" s="2">
        <v>16538</v>
      </c>
      <c r="P14" s="1"/>
    </row>
    <row r="15" spans="1:17" x14ac:dyDescent="0.25">
      <c r="A15" s="1">
        <v>45559</v>
      </c>
      <c r="B15" t="s">
        <v>162</v>
      </c>
      <c r="C15" t="s">
        <v>58</v>
      </c>
      <c r="D15" t="s">
        <v>72</v>
      </c>
      <c r="E15" t="s">
        <v>69</v>
      </c>
      <c r="F15" t="s">
        <v>43</v>
      </c>
      <c r="G15" t="s">
        <v>18</v>
      </c>
      <c r="H15">
        <v>2</v>
      </c>
      <c r="I15">
        <v>1</v>
      </c>
      <c r="J15" t="s">
        <v>47</v>
      </c>
      <c r="K15">
        <v>2.1</v>
      </c>
      <c r="L15">
        <v>0.7</v>
      </c>
      <c r="M15">
        <v>54</v>
      </c>
      <c r="N15" s="2">
        <v>35292</v>
      </c>
      <c r="Q15" s="1"/>
    </row>
    <row r="16" spans="1:17" x14ac:dyDescent="0.25">
      <c r="A16" s="1">
        <v>45564</v>
      </c>
      <c r="B16" t="s">
        <v>153</v>
      </c>
      <c r="C16" t="s">
        <v>58</v>
      </c>
      <c r="D16" t="s">
        <v>74</v>
      </c>
      <c r="E16" t="s">
        <v>62</v>
      </c>
      <c r="F16" t="s">
        <v>44</v>
      </c>
      <c r="G16" t="s">
        <v>4</v>
      </c>
      <c r="H16">
        <v>1</v>
      </c>
      <c r="I16">
        <v>1</v>
      </c>
      <c r="J16" t="s">
        <v>73</v>
      </c>
      <c r="K16">
        <v>1.1000000000000001</v>
      </c>
      <c r="L16">
        <v>2</v>
      </c>
      <c r="M16">
        <v>61</v>
      </c>
      <c r="N16" s="2">
        <v>48288</v>
      </c>
    </row>
    <row r="17" spans="1:17" x14ac:dyDescent="0.25">
      <c r="A17" s="1">
        <v>45571</v>
      </c>
      <c r="B17" t="s">
        <v>157</v>
      </c>
      <c r="C17" t="s">
        <v>58</v>
      </c>
      <c r="D17" t="s">
        <v>75</v>
      </c>
      <c r="E17" t="s">
        <v>62</v>
      </c>
      <c r="F17" t="s">
        <v>43</v>
      </c>
      <c r="G17" t="s">
        <v>18</v>
      </c>
      <c r="H17">
        <v>1</v>
      </c>
      <c r="I17">
        <v>0</v>
      </c>
      <c r="J17" t="s">
        <v>11</v>
      </c>
      <c r="K17">
        <v>1.4</v>
      </c>
      <c r="L17">
        <v>0.6</v>
      </c>
      <c r="M17">
        <v>51</v>
      </c>
      <c r="N17" s="2">
        <v>42571</v>
      </c>
    </row>
    <row r="18" spans="1:17" x14ac:dyDescent="0.25">
      <c r="A18" s="1">
        <v>45585</v>
      </c>
      <c r="B18" t="s">
        <v>181</v>
      </c>
      <c r="C18" t="s">
        <v>58</v>
      </c>
      <c r="D18" t="s">
        <v>79</v>
      </c>
      <c r="E18" t="s">
        <v>62</v>
      </c>
      <c r="F18" t="s">
        <v>44</v>
      </c>
      <c r="G18" t="s">
        <v>19</v>
      </c>
      <c r="H18">
        <v>1</v>
      </c>
      <c r="I18">
        <v>5</v>
      </c>
      <c r="J18" t="s">
        <v>13</v>
      </c>
      <c r="K18">
        <v>1</v>
      </c>
      <c r="L18">
        <v>3.8</v>
      </c>
      <c r="M18">
        <v>33</v>
      </c>
      <c r="N18" s="2">
        <v>47848</v>
      </c>
    </row>
    <row r="19" spans="1:17" x14ac:dyDescent="0.25">
      <c r="A19" s="1">
        <v>45590</v>
      </c>
      <c r="B19" t="s">
        <v>181</v>
      </c>
      <c r="C19" t="s">
        <v>58</v>
      </c>
      <c r="D19" t="s">
        <v>81</v>
      </c>
      <c r="E19" t="s">
        <v>60</v>
      </c>
      <c r="F19" t="s">
        <v>44</v>
      </c>
      <c r="G19" t="s">
        <v>18</v>
      </c>
      <c r="H19">
        <v>2</v>
      </c>
      <c r="I19">
        <v>0</v>
      </c>
      <c r="J19" t="s">
        <v>48</v>
      </c>
      <c r="K19">
        <v>0.8</v>
      </c>
      <c r="L19">
        <v>1.2</v>
      </c>
      <c r="M19">
        <v>57</v>
      </c>
      <c r="N19" s="2">
        <v>23656</v>
      </c>
      <c r="Q19" s="1"/>
    </row>
    <row r="20" spans="1:17" x14ac:dyDescent="0.25">
      <c r="A20" s="1">
        <v>45595</v>
      </c>
      <c r="B20" t="s">
        <v>224</v>
      </c>
      <c r="C20" t="s">
        <v>76</v>
      </c>
      <c r="D20" t="s">
        <v>124</v>
      </c>
      <c r="E20" t="s">
        <v>92</v>
      </c>
      <c r="F20" t="s">
        <v>44</v>
      </c>
      <c r="G20" t="s">
        <v>18</v>
      </c>
      <c r="H20">
        <v>3</v>
      </c>
      <c r="I20">
        <v>0</v>
      </c>
      <c r="J20" t="s">
        <v>528</v>
      </c>
      <c r="M20">
        <v>71</v>
      </c>
      <c r="Q20" s="1"/>
    </row>
    <row r="21" spans="1:17" x14ac:dyDescent="0.25">
      <c r="A21" s="1">
        <v>45599</v>
      </c>
      <c r="B21" t="s">
        <v>157</v>
      </c>
      <c r="C21" t="s">
        <v>58</v>
      </c>
      <c r="D21" t="s">
        <v>83</v>
      </c>
      <c r="E21" t="s">
        <v>62</v>
      </c>
      <c r="F21" t="s">
        <v>43</v>
      </c>
      <c r="G21" t="s">
        <v>19</v>
      </c>
      <c r="H21">
        <v>0</v>
      </c>
      <c r="I21">
        <v>2</v>
      </c>
      <c r="J21" t="s">
        <v>49</v>
      </c>
      <c r="K21">
        <v>1.1000000000000001</v>
      </c>
      <c r="L21">
        <v>1.4</v>
      </c>
      <c r="M21">
        <v>55</v>
      </c>
      <c r="N21" s="2">
        <v>37619</v>
      </c>
    </row>
    <row r="22" spans="1:17" x14ac:dyDescent="0.25">
      <c r="A22" s="1">
        <v>45605</v>
      </c>
      <c r="B22" t="s">
        <v>181</v>
      </c>
      <c r="C22" t="s">
        <v>58</v>
      </c>
      <c r="D22" t="s">
        <v>84</v>
      </c>
      <c r="E22" t="s">
        <v>64</v>
      </c>
      <c r="F22" t="s">
        <v>44</v>
      </c>
      <c r="G22" t="s">
        <v>19</v>
      </c>
      <c r="H22">
        <v>0</v>
      </c>
      <c r="I22">
        <v>1</v>
      </c>
      <c r="J22" t="s">
        <v>82</v>
      </c>
      <c r="K22">
        <v>0.6</v>
      </c>
      <c r="L22">
        <v>1.1000000000000001</v>
      </c>
      <c r="M22">
        <v>57</v>
      </c>
      <c r="N22" s="2">
        <v>11167</v>
      </c>
      <c r="P22" s="1"/>
    </row>
    <row r="23" spans="1:17" x14ac:dyDescent="0.25">
      <c r="A23" s="1">
        <v>45620</v>
      </c>
      <c r="B23" t="s">
        <v>153</v>
      </c>
      <c r="C23" t="s">
        <v>58</v>
      </c>
      <c r="D23" t="s">
        <v>86</v>
      </c>
      <c r="E23" t="s">
        <v>62</v>
      </c>
      <c r="F23" t="s">
        <v>43</v>
      </c>
      <c r="G23" t="s">
        <v>18</v>
      </c>
      <c r="H23">
        <v>1</v>
      </c>
      <c r="I23">
        <v>0</v>
      </c>
      <c r="J23" t="s">
        <v>46</v>
      </c>
      <c r="K23">
        <v>1.1000000000000001</v>
      </c>
      <c r="L23">
        <v>0.8</v>
      </c>
      <c r="M23">
        <v>53</v>
      </c>
      <c r="N23" s="2">
        <v>35125</v>
      </c>
      <c r="Q23" s="1"/>
    </row>
    <row r="24" spans="1:17" x14ac:dyDescent="0.25">
      <c r="A24" s="1">
        <v>45628</v>
      </c>
      <c r="B24" t="s">
        <v>181</v>
      </c>
      <c r="C24" t="s">
        <v>58</v>
      </c>
      <c r="D24" t="s">
        <v>87</v>
      </c>
      <c r="E24" t="s">
        <v>117</v>
      </c>
      <c r="F24" t="s">
        <v>43</v>
      </c>
      <c r="J24" t="s">
        <v>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20F8-1925-4BB0-AE41-275119AA6AA2}">
  <dimension ref="A1:Q50"/>
  <sheetViews>
    <sheetView workbookViewId="0">
      <selection activeCell="O1" sqref="O1:U1048576"/>
    </sheetView>
  </sheetViews>
  <sheetFormatPr defaultRowHeight="15" x14ac:dyDescent="0.25"/>
  <cols>
    <col min="1" max="1" width="10.85546875" customWidth="1"/>
  </cols>
  <sheetData>
    <row r="1" spans="1:17" x14ac:dyDescent="0.25">
      <c r="A1" t="s">
        <v>399</v>
      </c>
    </row>
    <row r="2" spans="1:17" x14ac:dyDescent="0.25">
      <c r="A2" t="s">
        <v>400</v>
      </c>
    </row>
    <row r="3" spans="1:17" x14ac:dyDescent="0.25">
      <c r="A3" t="s">
        <v>401</v>
      </c>
    </row>
    <row r="4" spans="1:17" x14ac:dyDescent="0.25">
      <c r="A4" t="s">
        <v>402</v>
      </c>
    </row>
    <row r="7" spans="1:17" x14ac:dyDescent="0.25">
      <c r="A7" t="s">
        <v>0</v>
      </c>
      <c r="B7" t="s">
        <v>1</v>
      </c>
      <c r="C7" t="s">
        <v>16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 t="s">
        <v>45</v>
      </c>
      <c r="K7" t="s">
        <v>55</v>
      </c>
      <c r="L7" t="s">
        <v>56</v>
      </c>
      <c r="M7" t="s">
        <v>57</v>
      </c>
      <c r="N7" t="s">
        <v>24</v>
      </c>
    </row>
    <row r="8" spans="1:17" x14ac:dyDescent="0.25">
      <c r="A8" s="1">
        <v>42959</v>
      </c>
      <c r="B8" t="s">
        <v>303</v>
      </c>
      <c r="C8" t="s">
        <v>304</v>
      </c>
      <c r="D8" t="s">
        <v>124</v>
      </c>
      <c r="E8" t="s">
        <v>64</v>
      </c>
      <c r="F8" t="s">
        <v>44</v>
      </c>
      <c r="G8" t="s">
        <v>18</v>
      </c>
      <c r="H8">
        <v>3</v>
      </c>
      <c r="I8">
        <v>0</v>
      </c>
      <c r="J8" t="s">
        <v>403</v>
      </c>
      <c r="M8">
        <v>41</v>
      </c>
      <c r="N8" s="2">
        <v>13106</v>
      </c>
      <c r="P8" s="1"/>
    </row>
    <row r="9" spans="1:17" x14ac:dyDescent="0.25">
      <c r="A9" s="1">
        <v>42967</v>
      </c>
      <c r="B9" t="s">
        <v>303</v>
      </c>
      <c r="C9" t="s">
        <v>307</v>
      </c>
      <c r="D9" t="s">
        <v>59</v>
      </c>
      <c r="E9" t="s">
        <v>62</v>
      </c>
      <c r="F9" t="s">
        <v>44</v>
      </c>
      <c r="G9" t="s">
        <v>4</v>
      </c>
      <c r="H9">
        <v>0</v>
      </c>
      <c r="I9">
        <v>0</v>
      </c>
      <c r="J9" t="s">
        <v>315</v>
      </c>
      <c r="K9">
        <v>1.3</v>
      </c>
      <c r="L9">
        <v>0.4</v>
      </c>
      <c r="M9">
        <v>43</v>
      </c>
      <c r="N9" s="2">
        <v>24000</v>
      </c>
      <c r="Q9" s="1"/>
    </row>
    <row r="10" spans="1:17" x14ac:dyDescent="0.25">
      <c r="A10" s="1">
        <v>42973</v>
      </c>
      <c r="B10" t="s">
        <v>303</v>
      </c>
      <c r="C10" t="s">
        <v>307</v>
      </c>
      <c r="D10" t="s">
        <v>61</v>
      </c>
      <c r="E10" t="s">
        <v>64</v>
      </c>
      <c r="F10" t="s">
        <v>43</v>
      </c>
      <c r="G10" t="s">
        <v>19</v>
      </c>
      <c r="H10">
        <v>0</v>
      </c>
      <c r="I10">
        <v>1</v>
      </c>
      <c r="J10" t="s">
        <v>316</v>
      </c>
      <c r="K10">
        <v>1</v>
      </c>
      <c r="L10">
        <v>1</v>
      </c>
      <c r="M10">
        <v>49</v>
      </c>
      <c r="N10" s="2">
        <v>46000</v>
      </c>
      <c r="Q10" s="1"/>
    </row>
    <row r="11" spans="1:17" x14ac:dyDescent="0.25">
      <c r="A11" s="1">
        <v>42987</v>
      </c>
      <c r="B11" t="s">
        <v>303</v>
      </c>
      <c r="C11" t="s">
        <v>307</v>
      </c>
      <c r="D11" t="s">
        <v>63</v>
      </c>
      <c r="E11" t="s">
        <v>64</v>
      </c>
      <c r="F11" t="s">
        <v>44</v>
      </c>
      <c r="G11" t="s">
        <v>18</v>
      </c>
      <c r="H11">
        <v>1</v>
      </c>
      <c r="I11">
        <v>0</v>
      </c>
      <c r="J11" t="s">
        <v>332</v>
      </c>
      <c r="K11">
        <v>0.7</v>
      </c>
      <c r="L11">
        <v>0.9</v>
      </c>
      <c r="M11">
        <v>31</v>
      </c>
      <c r="N11" s="2">
        <v>51431</v>
      </c>
      <c r="Q11" s="1"/>
    </row>
    <row r="12" spans="1:17" x14ac:dyDescent="0.25">
      <c r="A12" s="1">
        <v>42994</v>
      </c>
      <c r="B12" t="s">
        <v>303</v>
      </c>
      <c r="C12" t="s">
        <v>307</v>
      </c>
      <c r="D12" t="s">
        <v>66</v>
      </c>
      <c r="E12" t="s">
        <v>64</v>
      </c>
      <c r="F12" t="s">
        <v>43</v>
      </c>
      <c r="G12" t="s">
        <v>19</v>
      </c>
      <c r="H12">
        <v>1</v>
      </c>
      <c r="I12">
        <v>2</v>
      </c>
      <c r="J12" t="s">
        <v>327</v>
      </c>
      <c r="K12">
        <v>1.5</v>
      </c>
      <c r="L12">
        <v>0.7</v>
      </c>
      <c r="M12">
        <v>65</v>
      </c>
      <c r="N12" s="2">
        <v>46500</v>
      </c>
    </row>
    <row r="13" spans="1:17" x14ac:dyDescent="0.25">
      <c r="A13" s="1">
        <v>42998</v>
      </c>
      <c r="B13" t="s">
        <v>157</v>
      </c>
      <c r="C13" t="s">
        <v>307</v>
      </c>
      <c r="D13" t="s">
        <v>68</v>
      </c>
      <c r="E13" t="s">
        <v>92</v>
      </c>
      <c r="F13" t="s">
        <v>44</v>
      </c>
      <c r="G13" t="s">
        <v>18</v>
      </c>
      <c r="H13">
        <v>1</v>
      </c>
      <c r="I13">
        <v>0</v>
      </c>
      <c r="J13" t="s">
        <v>312</v>
      </c>
      <c r="K13">
        <v>1.2</v>
      </c>
      <c r="L13">
        <v>2.1</v>
      </c>
      <c r="M13">
        <v>45</v>
      </c>
      <c r="N13" s="2">
        <v>49000</v>
      </c>
      <c r="Q13" s="1"/>
    </row>
    <row r="14" spans="1:17" x14ac:dyDescent="0.25">
      <c r="A14" s="1">
        <v>43001</v>
      </c>
      <c r="B14" t="s">
        <v>303</v>
      </c>
      <c r="C14" t="s">
        <v>307</v>
      </c>
      <c r="D14" t="s">
        <v>71</v>
      </c>
      <c r="E14" t="s">
        <v>64</v>
      </c>
      <c r="F14" t="s">
        <v>44</v>
      </c>
      <c r="G14" t="s">
        <v>19</v>
      </c>
      <c r="H14">
        <v>1</v>
      </c>
      <c r="I14">
        <v>2</v>
      </c>
      <c r="J14" t="s">
        <v>333</v>
      </c>
      <c r="K14">
        <v>0.8</v>
      </c>
      <c r="L14">
        <v>1.6</v>
      </c>
      <c r="M14">
        <v>36</v>
      </c>
      <c r="N14" s="2">
        <v>40606</v>
      </c>
      <c r="P14" s="1"/>
    </row>
    <row r="15" spans="1:17" x14ac:dyDescent="0.25">
      <c r="A15" s="1">
        <v>43008</v>
      </c>
      <c r="B15" t="s">
        <v>303</v>
      </c>
      <c r="C15" t="s">
        <v>307</v>
      </c>
      <c r="D15" t="s">
        <v>72</v>
      </c>
      <c r="E15" t="s">
        <v>64</v>
      </c>
      <c r="F15" t="s">
        <v>43</v>
      </c>
      <c r="G15" t="s">
        <v>18</v>
      </c>
      <c r="H15">
        <v>2</v>
      </c>
      <c r="I15">
        <v>1</v>
      </c>
      <c r="J15" t="s">
        <v>326</v>
      </c>
      <c r="K15">
        <v>1.2</v>
      </c>
      <c r="L15">
        <v>1</v>
      </c>
      <c r="M15">
        <v>43</v>
      </c>
      <c r="N15" s="2">
        <v>51500</v>
      </c>
      <c r="Q15" s="1"/>
    </row>
    <row r="16" spans="1:17" x14ac:dyDescent="0.25">
      <c r="A16" s="1">
        <v>43022</v>
      </c>
      <c r="B16" t="s">
        <v>303</v>
      </c>
      <c r="C16" t="s">
        <v>307</v>
      </c>
      <c r="D16" t="s">
        <v>74</v>
      </c>
      <c r="E16" t="s">
        <v>64</v>
      </c>
      <c r="F16" t="s">
        <v>44</v>
      </c>
      <c r="G16" t="s">
        <v>18</v>
      </c>
      <c r="H16">
        <v>2</v>
      </c>
      <c r="I16">
        <v>1</v>
      </c>
      <c r="J16" t="s">
        <v>392</v>
      </c>
      <c r="K16">
        <v>1</v>
      </c>
      <c r="L16">
        <v>0.7</v>
      </c>
      <c r="M16">
        <v>48</v>
      </c>
      <c r="N16" s="2">
        <v>43500</v>
      </c>
      <c r="P16" s="1"/>
      <c r="Q16" s="1"/>
    </row>
    <row r="17" spans="1:17" x14ac:dyDescent="0.25">
      <c r="A17" s="1">
        <v>43029</v>
      </c>
      <c r="B17" t="s">
        <v>303</v>
      </c>
      <c r="C17" t="s">
        <v>307</v>
      </c>
      <c r="D17" t="s">
        <v>75</v>
      </c>
      <c r="E17" t="s">
        <v>64</v>
      </c>
      <c r="F17" t="s">
        <v>43</v>
      </c>
      <c r="G17" t="s">
        <v>4</v>
      </c>
      <c r="H17">
        <v>2</v>
      </c>
      <c r="I17">
        <v>2</v>
      </c>
      <c r="J17" t="s">
        <v>321</v>
      </c>
      <c r="K17">
        <v>2.2999999999999998</v>
      </c>
      <c r="L17">
        <v>2.4</v>
      </c>
      <c r="M17">
        <v>39</v>
      </c>
      <c r="N17" s="2">
        <v>51500</v>
      </c>
      <c r="Q17" s="1"/>
    </row>
    <row r="18" spans="1:17" x14ac:dyDescent="0.25">
      <c r="A18" s="1">
        <v>43032</v>
      </c>
      <c r="B18" t="s">
        <v>156</v>
      </c>
      <c r="C18" t="s">
        <v>304</v>
      </c>
      <c r="D18" t="s">
        <v>126</v>
      </c>
      <c r="E18" t="s">
        <v>69</v>
      </c>
      <c r="F18" t="s">
        <v>44</v>
      </c>
      <c r="G18" t="s">
        <v>18</v>
      </c>
      <c r="H18">
        <v>4</v>
      </c>
      <c r="I18">
        <v>0</v>
      </c>
      <c r="J18" t="s">
        <v>404</v>
      </c>
      <c r="M18">
        <v>59</v>
      </c>
      <c r="N18" s="2">
        <v>15060</v>
      </c>
    </row>
    <row r="19" spans="1:17" x14ac:dyDescent="0.25">
      <c r="A19" s="1">
        <v>43035</v>
      </c>
      <c r="B19" t="s">
        <v>158</v>
      </c>
      <c r="C19" t="s">
        <v>307</v>
      </c>
      <c r="D19" t="s">
        <v>79</v>
      </c>
      <c r="E19" t="s">
        <v>60</v>
      </c>
      <c r="F19" t="s">
        <v>44</v>
      </c>
      <c r="G19" t="s">
        <v>4</v>
      </c>
      <c r="H19">
        <v>1</v>
      </c>
      <c r="I19">
        <v>1</v>
      </c>
      <c r="J19" t="s">
        <v>311</v>
      </c>
      <c r="K19">
        <v>0.4</v>
      </c>
      <c r="L19">
        <v>0.4</v>
      </c>
      <c r="M19">
        <v>48</v>
      </c>
      <c r="N19" s="2">
        <v>33794</v>
      </c>
      <c r="Q19" s="1"/>
    </row>
    <row r="20" spans="1:17" x14ac:dyDescent="0.25">
      <c r="A20" s="1">
        <v>43042</v>
      </c>
      <c r="B20" t="s">
        <v>396</v>
      </c>
      <c r="C20" t="s">
        <v>307</v>
      </c>
      <c r="D20" t="s">
        <v>81</v>
      </c>
      <c r="E20" t="s">
        <v>60</v>
      </c>
      <c r="F20" t="s">
        <v>43</v>
      </c>
      <c r="G20" t="s">
        <v>18</v>
      </c>
      <c r="H20">
        <v>2</v>
      </c>
      <c r="I20">
        <v>1</v>
      </c>
      <c r="J20" t="s">
        <v>325</v>
      </c>
      <c r="K20">
        <v>2</v>
      </c>
      <c r="L20">
        <v>1.7</v>
      </c>
      <c r="M20">
        <v>48</v>
      </c>
      <c r="N20" s="2">
        <v>51500</v>
      </c>
      <c r="Q20" s="1"/>
    </row>
    <row r="21" spans="1:17" x14ac:dyDescent="0.25">
      <c r="A21" s="1">
        <v>43057</v>
      </c>
      <c r="B21" t="s">
        <v>303</v>
      </c>
      <c r="C21" t="s">
        <v>307</v>
      </c>
      <c r="D21" t="s">
        <v>83</v>
      </c>
      <c r="E21" t="s">
        <v>64</v>
      </c>
      <c r="F21" t="s">
        <v>44</v>
      </c>
      <c r="G21" t="s">
        <v>4</v>
      </c>
      <c r="H21">
        <v>1</v>
      </c>
      <c r="I21">
        <v>1</v>
      </c>
      <c r="J21" t="s">
        <v>319</v>
      </c>
      <c r="K21">
        <v>0.4</v>
      </c>
      <c r="L21">
        <v>1.2</v>
      </c>
      <c r="M21">
        <v>32</v>
      </c>
      <c r="N21" s="2">
        <v>30150</v>
      </c>
    </row>
    <row r="22" spans="1:17" x14ac:dyDescent="0.25">
      <c r="A22" s="1">
        <v>43064</v>
      </c>
      <c r="B22" t="s">
        <v>303</v>
      </c>
      <c r="C22" t="s">
        <v>307</v>
      </c>
      <c r="D22" t="s">
        <v>84</v>
      </c>
      <c r="E22" t="s">
        <v>64</v>
      </c>
      <c r="F22" t="s">
        <v>43</v>
      </c>
      <c r="G22" t="s">
        <v>19</v>
      </c>
      <c r="H22">
        <v>0</v>
      </c>
      <c r="I22">
        <v>1</v>
      </c>
      <c r="J22" t="s">
        <v>331</v>
      </c>
      <c r="K22">
        <v>0.8</v>
      </c>
      <c r="L22">
        <v>1.2</v>
      </c>
      <c r="M22">
        <v>50</v>
      </c>
      <c r="N22" s="2">
        <v>50000</v>
      </c>
      <c r="Q22" s="1"/>
    </row>
    <row r="23" spans="1:17" x14ac:dyDescent="0.25">
      <c r="A23" s="1">
        <v>43072</v>
      </c>
      <c r="B23" t="s">
        <v>303</v>
      </c>
      <c r="C23" t="s">
        <v>307</v>
      </c>
      <c r="D23" t="s">
        <v>86</v>
      </c>
      <c r="E23" t="s">
        <v>62</v>
      </c>
      <c r="F23" t="s">
        <v>44</v>
      </c>
      <c r="G23" t="s">
        <v>18</v>
      </c>
      <c r="H23">
        <v>2</v>
      </c>
      <c r="I23">
        <v>1</v>
      </c>
      <c r="J23" t="s">
        <v>343</v>
      </c>
      <c r="K23">
        <v>0.4</v>
      </c>
      <c r="L23">
        <v>1.2</v>
      </c>
      <c r="M23">
        <v>45</v>
      </c>
      <c r="N23" s="2">
        <v>38781</v>
      </c>
      <c r="P23" s="1"/>
      <c r="Q23" s="1"/>
    </row>
    <row r="24" spans="1:17" x14ac:dyDescent="0.25">
      <c r="A24" s="1">
        <v>43078</v>
      </c>
      <c r="B24" t="s">
        <v>303</v>
      </c>
      <c r="C24" t="s">
        <v>307</v>
      </c>
      <c r="D24" t="s">
        <v>87</v>
      </c>
      <c r="E24" t="s">
        <v>64</v>
      </c>
      <c r="F24" t="s">
        <v>43</v>
      </c>
      <c r="G24" t="s">
        <v>19</v>
      </c>
      <c r="H24">
        <v>0</v>
      </c>
      <c r="I24">
        <v>1</v>
      </c>
      <c r="J24" t="s">
        <v>329</v>
      </c>
      <c r="K24">
        <v>0.5</v>
      </c>
      <c r="L24">
        <v>0.3</v>
      </c>
      <c r="M24">
        <v>51</v>
      </c>
      <c r="N24" s="2">
        <v>51500</v>
      </c>
      <c r="P24" s="1"/>
      <c r="Q24" s="1"/>
    </row>
    <row r="25" spans="1:17" x14ac:dyDescent="0.25">
      <c r="A25" s="1">
        <v>43081</v>
      </c>
      <c r="B25" t="s">
        <v>158</v>
      </c>
      <c r="C25" t="s">
        <v>307</v>
      </c>
      <c r="D25" t="s">
        <v>88</v>
      </c>
      <c r="E25" t="s">
        <v>69</v>
      </c>
      <c r="F25" t="s">
        <v>44</v>
      </c>
      <c r="G25" t="s">
        <v>18</v>
      </c>
      <c r="H25">
        <v>2</v>
      </c>
      <c r="I25">
        <v>1</v>
      </c>
      <c r="J25" t="s">
        <v>405</v>
      </c>
      <c r="K25">
        <v>0.9</v>
      </c>
      <c r="L25">
        <v>1.5</v>
      </c>
      <c r="M25">
        <v>36</v>
      </c>
      <c r="N25" s="2">
        <v>40983</v>
      </c>
    </row>
    <row r="26" spans="1:17" x14ac:dyDescent="0.25">
      <c r="A26" s="1">
        <v>43085</v>
      </c>
      <c r="B26" t="s">
        <v>303</v>
      </c>
      <c r="C26" t="s">
        <v>307</v>
      </c>
      <c r="D26" t="s">
        <v>90</v>
      </c>
      <c r="E26" t="s">
        <v>64</v>
      </c>
      <c r="F26" t="s">
        <v>43</v>
      </c>
      <c r="G26" t="s">
        <v>4</v>
      </c>
      <c r="H26">
        <v>2</v>
      </c>
      <c r="I26">
        <v>2</v>
      </c>
      <c r="J26" t="s">
        <v>348</v>
      </c>
      <c r="K26">
        <v>1.7</v>
      </c>
      <c r="L26">
        <v>1.8</v>
      </c>
      <c r="M26">
        <v>37</v>
      </c>
      <c r="N26" s="2">
        <v>50600</v>
      </c>
    </row>
    <row r="27" spans="1:17" x14ac:dyDescent="0.25">
      <c r="A27" s="1">
        <v>43089</v>
      </c>
      <c r="B27" t="s">
        <v>156</v>
      </c>
      <c r="C27" t="s">
        <v>304</v>
      </c>
      <c r="D27" t="s">
        <v>91</v>
      </c>
      <c r="E27" t="s">
        <v>92</v>
      </c>
      <c r="F27" t="s">
        <v>44</v>
      </c>
      <c r="G27" t="s">
        <v>18</v>
      </c>
      <c r="H27">
        <v>2</v>
      </c>
      <c r="I27">
        <v>1</v>
      </c>
      <c r="J27" t="s">
        <v>318</v>
      </c>
      <c r="M27">
        <v>70</v>
      </c>
      <c r="N27" s="2">
        <v>11000</v>
      </c>
      <c r="Q27" s="1"/>
    </row>
    <row r="28" spans="1:17" x14ac:dyDescent="0.25">
      <c r="A28" s="1">
        <v>43113</v>
      </c>
      <c r="B28" t="s">
        <v>303</v>
      </c>
      <c r="C28" t="s">
        <v>307</v>
      </c>
      <c r="D28" t="s">
        <v>93</v>
      </c>
      <c r="E28" t="s">
        <v>64</v>
      </c>
      <c r="F28" t="s">
        <v>43</v>
      </c>
      <c r="G28" t="s">
        <v>4</v>
      </c>
      <c r="H28">
        <v>1</v>
      </c>
      <c r="I28">
        <v>1</v>
      </c>
      <c r="J28" t="s">
        <v>315</v>
      </c>
      <c r="K28">
        <v>1.5</v>
      </c>
      <c r="L28">
        <v>0.1</v>
      </c>
      <c r="M28">
        <v>60</v>
      </c>
      <c r="N28" s="2">
        <v>45300</v>
      </c>
      <c r="P28" s="1"/>
      <c r="Q28" s="1"/>
    </row>
    <row r="29" spans="1:17" x14ac:dyDescent="0.25">
      <c r="A29" s="1">
        <v>43120</v>
      </c>
      <c r="B29" t="s">
        <v>303</v>
      </c>
      <c r="C29" t="s">
        <v>307</v>
      </c>
      <c r="D29" t="s">
        <v>94</v>
      </c>
      <c r="E29" t="s">
        <v>64</v>
      </c>
      <c r="F29" t="s">
        <v>44</v>
      </c>
      <c r="G29" t="s">
        <v>18</v>
      </c>
      <c r="H29">
        <v>3</v>
      </c>
      <c r="I29">
        <v>1</v>
      </c>
      <c r="J29" t="s">
        <v>316</v>
      </c>
      <c r="K29">
        <v>1.7</v>
      </c>
      <c r="L29">
        <v>0.9</v>
      </c>
      <c r="M29">
        <v>47</v>
      </c>
      <c r="N29" s="2">
        <v>24450</v>
      </c>
      <c r="Q29" s="1"/>
    </row>
    <row r="30" spans="1:17" x14ac:dyDescent="0.25">
      <c r="A30" s="1">
        <v>43126</v>
      </c>
      <c r="B30" t="s">
        <v>158</v>
      </c>
      <c r="C30" t="s">
        <v>307</v>
      </c>
      <c r="D30" t="s">
        <v>97</v>
      </c>
      <c r="E30" t="s">
        <v>60</v>
      </c>
      <c r="F30" t="s">
        <v>43</v>
      </c>
      <c r="G30" t="s">
        <v>18</v>
      </c>
      <c r="H30">
        <v>2</v>
      </c>
      <c r="I30">
        <v>0</v>
      </c>
      <c r="J30" t="s">
        <v>332</v>
      </c>
      <c r="K30">
        <v>1.6</v>
      </c>
      <c r="L30">
        <v>1.5</v>
      </c>
      <c r="M30">
        <v>48</v>
      </c>
      <c r="N30" s="2">
        <v>47500</v>
      </c>
      <c r="Q30" s="1"/>
    </row>
    <row r="31" spans="1:17" x14ac:dyDescent="0.25">
      <c r="A31" s="1">
        <v>43135</v>
      </c>
      <c r="B31" t="s">
        <v>303</v>
      </c>
      <c r="C31" t="s">
        <v>307</v>
      </c>
      <c r="D31" t="s">
        <v>98</v>
      </c>
      <c r="E31" t="s">
        <v>62</v>
      </c>
      <c r="F31" t="s">
        <v>44</v>
      </c>
      <c r="G31" t="s">
        <v>19</v>
      </c>
      <c r="H31">
        <v>0</v>
      </c>
      <c r="I31">
        <v>3</v>
      </c>
      <c r="J31" t="s">
        <v>327</v>
      </c>
      <c r="K31">
        <v>0.4</v>
      </c>
      <c r="L31">
        <v>2.8</v>
      </c>
      <c r="M31">
        <v>62</v>
      </c>
      <c r="N31" s="2">
        <v>27188</v>
      </c>
    </row>
    <row r="32" spans="1:17" x14ac:dyDescent="0.25">
      <c r="A32" s="1">
        <v>43138</v>
      </c>
      <c r="B32" t="s">
        <v>157</v>
      </c>
      <c r="C32" t="s">
        <v>304</v>
      </c>
      <c r="D32" t="s">
        <v>96</v>
      </c>
      <c r="E32" t="s">
        <v>92</v>
      </c>
      <c r="F32" t="s">
        <v>43</v>
      </c>
      <c r="G32" t="s">
        <v>18</v>
      </c>
      <c r="H32">
        <v>3</v>
      </c>
      <c r="I32">
        <v>0</v>
      </c>
      <c r="J32" t="s">
        <v>311</v>
      </c>
      <c r="M32">
        <v>59</v>
      </c>
      <c r="N32" s="2">
        <v>48200</v>
      </c>
    </row>
    <row r="33" spans="1:17" x14ac:dyDescent="0.25">
      <c r="A33" s="1">
        <v>43141</v>
      </c>
      <c r="B33" t="s">
        <v>303</v>
      </c>
      <c r="C33" t="s">
        <v>307</v>
      </c>
      <c r="D33" t="s">
        <v>100</v>
      </c>
      <c r="E33" t="s">
        <v>64</v>
      </c>
      <c r="F33" t="s">
        <v>43</v>
      </c>
      <c r="G33" t="s">
        <v>18</v>
      </c>
      <c r="H33">
        <v>4</v>
      </c>
      <c r="I33">
        <v>2</v>
      </c>
      <c r="J33" t="s">
        <v>312</v>
      </c>
      <c r="K33">
        <v>2.2999999999999998</v>
      </c>
      <c r="L33">
        <v>1.3</v>
      </c>
      <c r="M33">
        <v>57</v>
      </c>
      <c r="N33" s="2">
        <v>47700</v>
      </c>
      <c r="P33" s="1"/>
      <c r="Q33" s="1"/>
    </row>
    <row r="34" spans="1:17" x14ac:dyDescent="0.25">
      <c r="A34" s="1">
        <v>43150</v>
      </c>
      <c r="B34" t="s">
        <v>158</v>
      </c>
      <c r="C34" t="s">
        <v>307</v>
      </c>
      <c r="D34" t="s">
        <v>101</v>
      </c>
      <c r="E34" t="s">
        <v>117</v>
      </c>
      <c r="F34" t="s">
        <v>43</v>
      </c>
      <c r="G34" t="s">
        <v>18</v>
      </c>
      <c r="H34">
        <v>2</v>
      </c>
      <c r="I34">
        <v>1</v>
      </c>
      <c r="J34" t="s">
        <v>333</v>
      </c>
      <c r="K34">
        <v>1.6</v>
      </c>
      <c r="L34">
        <v>0.5</v>
      </c>
      <c r="M34">
        <v>44</v>
      </c>
      <c r="N34" s="2">
        <v>45100</v>
      </c>
      <c r="Q34" s="1"/>
    </row>
    <row r="35" spans="1:17" x14ac:dyDescent="0.25">
      <c r="A35" s="1">
        <v>43155</v>
      </c>
      <c r="B35" t="s">
        <v>303</v>
      </c>
      <c r="C35" t="s">
        <v>307</v>
      </c>
      <c r="D35" t="s">
        <v>102</v>
      </c>
      <c r="E35" t="s">
        <v>64</v>
      </c>
      <c r="F35" t="s">
        <v>44</v>
      </c>
      <c r="G35" t="s">
        <v>19</v>
      </c>
      <c r="H35">
        <v>0</v>
      </c>
      <c r="I35">
        <v>1</v>
      </c>
      <c r="J35" t="s">
        <v>326</v>
      </c>
      <c r="K35">
        <v>0.3</v>
      </c>
      <c r="L35">
        <v>2.2000000000000002</v>
      </c>
      <c r="M35">
        <v>61</v>
      </c>
      <c r="N35" s="2">
        <v>55418</v>
      </c>
      <c r="Q35" s="1"/>
    </row>
    <row r="36" spans="1:17" x14ac:dyDescent="0.25">
      <c r="A36" s="1">
        <v>43162</v>
      </c>
      <c r="B36" t="s">
        <v>303</v>
      </c>
      <c r="C36" t="s">
        <v>307</v>
      </c>
      <c r="D36" t="s">
        <v>103</v>
      </c>
      <c r="E36" t="s">
        <v>64</v>
      </c>
      <c r="F36" t="s">
        <v>43</v>
      </c>
      <c r="G36" t="s">
        <v>18</v>
      </c>
      <c r="H36">
        <v>1</v>
      </c>
      <c r="I36">
        <v>0</v>
      </c>
      <c r="J36" t="s">
        <v>392</v>
      </c>
      <c r="K36">
        <v>1.9</v>
      </c>
      <c r="L36">
        <v>0.7</v>
      </c>
      <c r="M36">
        <v>47</v>
      </c>
      <c r="N36" s="2">
        <v>48500</v>
      </c>
    </row>
    <row r="37" spans="1:17" x14ac:dyDescent="0.25">
      <c r="A37" s="1">
        <v>43170</v>
      </c>
      <c r="B37" t="s">
        <v>380</v>
      </c>
      <c r="C37" t="s">
        <v>307</v>
      </c>
      <c r="D37" t="s">
        <v>104</v>
      </c>
      <c r="E37" t="s">
        <v>62</v>
      </c>
      <c r="F37" t="s">
        <v>44</v>
      </c>
      <c r="G37" t="s">
        <v>19</v>
      </c>
      <c r="H37">
        <v>2</v>
      </c>
      <c r="I37">
        <v>3</v>
      </c>
      <c r="J37" t="s">
        <v>321</v>
      </c>
      <c r="K37">
        <v>1.1000000000000001</v>
      </c>
      <c r="L37">
        <v>1.1000000000000001</v>
      </c>
      <c r="M37">
        <v>54</v>
      </c>
      <c r="N37" s="2">
        <v>81360</v>
      </c>
    </row>
    <row r="38" spans="1:17" x14ac:dyDescent="0.25">
      <c r="A38" t="s">
        <v>0</v>
      </c>
      <c r="B38" t="s">
        <v>1</v>
      </c>
      <c r="C38" t="s">
        <v>16</v>
      </c>
      <c r="D38" t="s">
        <v>51</v>
      </c>
      <c r="E38" t="s">
        <v>52</v>
      </c>
      <c r="F38" t="s">
        <v>53</v>
      </c>
      <c r="G38" t="s">
        <v>54</v>
      </c>
      <c r="H38" t="s">
        <v>20</v>
      </c>
      <c r="I38" t="s">
        <v>21</v>
      </c>
      <c r="J38" t="s">
        <v>45</v>
      </c>
      <c r="K38" t="s">
        <v>55</v>
      </c>
      <c r="L38" t="s">
        <v>56</v>
      </c>
      <c r="M38" t="s">
        <v>57</v>
      </c>
      <c r="N38" t="s">
        <v>24</v>
      </c>
    </row>
    <row r="39" spans="1:17" x14ac:dyDescent="0.25">
      <c r="A39" s="1">
        <v>43176</v>
      </c>
      <c r="B39" t="s">
        <v>287</v>
      </c>
      <c r="C39" t="s">
        <v>307</v>
      </c>
      <c r="D39" t="s">
        <v>105</v>
      </c>
      <c r="E39" t="s">
        <v>64</v>
      </c>
      <c r="F39" t="s">
        <v>43</v>
      </c>
      <c r="G39" t="s">
        <v>18</v>
      </c>
      <c r="H39">
        <v>3</v>
      </c>
      <c r="I39">
        <v>0</v>
      </c>
      <c r="J39" t="s">
        <v>311</v>
      </c>
      <c r="K39">
        <v>2.6</v>
      </c>
      <c r="L39">
        <v>0.6</v>
      </c>
      <c r="M39">
        <v>52</v>
      </c>
      <c r="N39" s="2">
        <v>49500</v>
      </c>
    </row>
    <row r="40" spans="1:17" x14ac:dyDescent="0.25">
      <c r="A40" s="1">
        <v>43191</v>
      </c>
      <c r="B40" t="s">
        <v>303</v>
      </c>
      <c r="C40" t="s">
        <v>307</v>
      </c>
      <c r="D40" t="s">
        <v>106</v>
      </c>
      <c r="E40" t="s">
        <v>62</v>
      </c>
      <c r="F40" t="s">
        <v>44</v>
      </c>
      <c r="G40" t="s">
        <v>19</v>
      </c>
      <c r="H40">
        <v>1</v>
      </c>
      <c r="I40">
        <v>2</v>
      </c>
      <c r="J40" t="s">
        <v>325</v>
      </c>
      <c r="K40">
        <v>0.9</v>
      </c>
      <c r="L40">
        <v>0.9</v>
      </c>
      <c r="M40">
        <v>54</v>
      </c>
      <c r="N40" s="2">
        <v>42100</v>
      </c>
      <c r="Q40" s="1"/>
    </row>
    <row r="41" spans="1:17" x14ac:dyDescent="0.25">
      <c r="A41" s="1">
        <v>43198</v>
      </c>
      <c r="B41" t="s">
        <v>209</v>
      </c>
      <c r="C41" t="s">
        <v>307</v>
      </c>
      <c r="D41" t="s">
        <v>107</v>
      </c>
      <c r="E41" t="s">
        <v>62</v>
      </c>
      <c r="F41" t="s">
        <v>43</v>
      </c>
      <c r="G41" t="s">
        <v>4</v>
      </c>
      <c r="H41">
        <v>1</v>
      </c>
      <c r="I41">
        <v>1</v>
      </c>
      <c r="J41" t="s">
        <v>319</v>
      </c>
      <c r="K41">
        <v>1.7</v>
      </c>
      <c r="L41">
        <v>0.6</v>
      </c>
      <c r="M41">
        <v>63</v>
      </c>
      <c r="N41" s="2">
        <v>50500</v>
      </c>
      <c r="Q41" s="1"/>
    </row>
    <row r="42" spans="1:17" x14ac:dyDescent="0.25">
      <c r="A42" s="1">
        <v>43204</v>
      </c>
      <c r="B42" t="s">
        <v>303</v>
      </c>
      <c r="C42" t="s">
        <v>307</v>
      </c>
      <c r="D42" t="s">
        <v>108</v>
      </c>
      <c r="E42" t="s">
        <v>64</v>
      </c>
      <c r="F42" t="s">
        <v>44</v>
      </c>
      <c r="G42" t="s">
        <v>19</v>
      </c>
      <c r="H42">
        <v>1</v>
      </c>
      <c r="I42">
        <v>4</v>
      </c>
      <c r="J42" t="s">
        <v>331</v>
      </c>
      <c r="K42">
        <v>0.9</v>
      </c>
      <c r="L42">
        <v>2.2999999999999998</v>
      </c>
      <c r="M42">
        <v>47</v>
      </c>
      <c r="N42" s="2">
        <v>30210</v>
      </c>
      <c r="P42" s="1"/>
    </row>
    <row r="43" spans="1:17" x14ac:dyDescent="0.25">
      <c r="A43" s="1">
        <v>43208</v>
      </c>
      <c r="B43" t="s">
        <v>156</v>
      </c>
      <c r="C43" t="s">
        <v>304</v>
      </c>
      <c r="D43" t="s">
        <v>99</v>
      </c>
      <c r="E43" t="s">
        <v>92</v>
      </c>
      <c r="F43" t="s">
        <v>44</v>
      </c>
      <c r="G43" t="s">
        <v>18</v>
      </c>
      <c r="H43">
        <v>1</v>
      </c>
      <c r="I43">
        <v>0</v>
      </c>
      <c r="J43" t="s">
        <v>348</v>
      </c>
      <c r="M43">
        <v>55</v>
      </c>
      <c r="N43" s="2">
        <v>60000</v>
      </c>
      <c r="P43" s="1"/>
    </row>
    <row r="44" spans="1:17" x14ac:dyDescent="0.25">
      <c r="A44" s="1">
        <v>43211</v>
      </c>
      <c r="B44" t="s">
        <v>303</v>
      </c>
      <c r="C44" t="s">
        <v>307</v>
      </c>
      <c r="D44" t="s">
        <v>109</v>
      </c>
      <c r="E44" t="s">
        <v>64</v>
      </c>
      <c r="F44" t="s">
        <v>43</v>
      </c>
      <c r="G44" t="s">
        <v>19</v>
      </c>
      <c r="H44">
        <v>0</v>
      </c>
      <c r="I44">
        <v>3</v>
      </c>
      <c r="J44" t="s">
        <v>343</v>
      </c>
      <c r="K44">
        <v>1.2</v>
      </c>
      <c r="L44">
        <v>1.8</v>
      </c>
      <c r="M44">
        <v>53</v>
      </c>
      <c r="N44" s="2">
        <v>51000</v>
      </c>
    </row>
    <row r="45" spans="1:17" x14ac:dyDescent="0.25">
      <c r="A45" s="1">
        <v>43218</v>
      </c>
      <c r="B45" t="s">
        <v>303</v>
      </c>
      <c r="C45" t="s">
        <v>307</v>
      </c>
      <c r="D45" t="s">
        <v>110</v>
      </c>
      <c r="E45" t="s">
        <v>64</v>
      </c>
      <c r="F45" t="s">
        <v>44</v>
      </c>
      <c r="G45" t="s">
        <v>19</v>
      </c>
      <c r="H45">
        <v>1</v>
      </c>
      <c r="I45">
        <v>4</v>
      </c>
      <c r="J45" t="s">
        <v>329</v>
      </c>
      <c r="K45">
        <v>2.1</v>
      </c>
      <c r="L45">
        <v>1.8</v>
      </c>
      <c r="M45">
        <v>41</v>
      </c>
      <c r="N45" s="2">
        <v>75000</v>
      </c>
      <c r="Q45" s="1"/>
    </row>
    <row r="46" spans="1:17" x14ac:dyDescent="0.25">
      <c r="A46" s="1">
        <v>43225</v>
      </c>
      <c r="B46" t="s">
        <v>303</v>
      </c>
      <c r="C46" t="s">
        <v>307</v>
      </c>
      <c r="D46" t="s">
        <v>111</v>
      </c>
      <c r="E46" t="s">
        <v>64</v>
      </c>
      <c r="F46" t="s">
        <v>43</v>
      </c>
      <c r="G46" t="s">
        <v>18</v>
      </c>
      <c r="H46">
        <v>3</v>
      </c>
      <c r="I46">
        <v>0</v>
      </c>
      <c r="J46" t="s">
        <v>405</v>
      </c>
      <c r="K46">
        <v>1.8</v>
      </c>
      <c r="L46">
        <v>1</v>
      </c>
      <c r="M46">
        <v>36</v>
      </c>
      <c r="N46" s="2">
        <v>51500</v>
      </c>
    </row>
    <row r="47" spans="1:17" x14ac:dyDescent="0.25">
      <c r="A47" s="1">
        <v>43232</v>
      </c>
      <c r="B47" t="s">
        <v>303</v>
      </c>
      <c r="C47" t="s">
        <v>307</v>
      </c>
      <c r="D47" t="s">
        <v>112</v>
      </c>
      <c r="E47" t="s">
        <v>64</v>
      </c>
      <c r="F47" t="s">
        <v>44</v>
      </c>
      <c r="G47" t="s">
        <v>19</v>
      </c>
      <c r="H47">
        <v>0</v>
      </c>
      <c r="I47">
        <v>1</v>
      </c>
      <c r="J47" t="s">
        <v>348</v>
      </c>
      <c r="K47">
        <v>0.5</v>
      </c>
      <c r="L47">
        <v>1.3</v>
      </c>
      <c r="M47">
        <v>55</v>
      </c>
      <c r="N47" s="2">
        <v>61585</v>
      </c>
      <c r="Q47" s="1"/>
    </row>
    <row r="48" spans="1:17" x14ac:dyDescent="0.25">
      <c r="A48" s="1">
        <v>43239</v>
      </c>
      <c r="B48" t="s">
        <v>155</v>
      </c>
      <c r="C48" t="s">
        <v>304</v>
      </c>
      <c r="D48" t="s">
        <v>121</v>
      </c>
      <c r="E48" t="s">
        <v>64</v>
      </c>
      <c r="F48" t="s">
        <v>44</v>
      </c>
      <c r="G48" t="s">
        <v>18</v>
      </c>
      <c r="H48">
        <v>3</v>
      </c>
      <c r="I48">
        <v>1</v>
      </c>
      <c r="J48" t="s">
        <v>329</v>
      </c>
      <c r="M48">
        <v>23</v>
      </c>
      <c r="N48" s="2">
        <v>76322</v>
      </c>
      <c r="Q48" s="1"/>
    </row>
    <row r="50" spans="1:1" x14ac:dyDescent="0.25">
      <c r="A50" t="s">
        <v>406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36BD-1F6D-4658-B75E-8A8A04760B1F}">
  <dimension ref="A1:Q60"/>
  <sheetViews>
    <sheetView workbookViewId="0">
      <selection activeCell="O1" sqref="O1:U1048576"/>
    </sheetView>
  </sheetViews>
  <sheetFormatPr defaultRowHeight="15" x14ac:dyDescent="0.25"/>
  <cols>
    <col min="1" max="1" width="10.28515625" customWidth="1"/>
  </cols>
  <sheetData>
    <row r="1" spans="1:17" x14ac:dyDescent="0.25">
      <c r="A1" t="s">
        <v>386</v>
      </c>
    </row>
    <row r="2" spans="1:17" x14ac:dyDescent="0.25">
      <c r="A2" t="s">
        <v>387</v>
      </c>
    </row>
    <row r="3" spans="1:17" x14ac:dyDescent="0.25">
      <c r="A3" t="s">
        <v>388</v>
      </c>
    </row>
    <row r="4" spans="1:17" x14ac:dyDescent="0.25">
      <c r="A4" t="s">
        <v>389</v>
      </c>
    </row>
    <row r="7" spans="1:17" x14ac:dyDescent="0.25">
      <c r="A7" t="s">
        <v>0</v>
      </c>
      <c r="B7" t="s">
        <v>1</v>
      </c>
      <c r="C7" t="s">
        <v>16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 t="s">
        <v>45</v>
      </c>
      <c r="K7" t="s">
        <v>55</v>
      </c>
      <c r="L7" t="s">
        <v>56</v>
      </c>
      <c r="M7" t="s">
        <v>57</v>
      </c>
      <c r="N7" t="s">
        <v>24</v>
      </c>
    </row>
    <row r="8" spans="1:17" x14ac:dyDescent="0.25">
      <c r="A8" s="1">
        <v>43324</v>
      </c>
      <c r="B8" t="s">
        <v>158</v>
      </c>
      <c r="C8" t="s">
        <v>390</v>
      </c>
      <c r="D8" t="s">
        <v>390</v>
      </c>
      <c r="E8" t="s">
        <v>62</v>
      </c>
      <c r="F8" t="s">
        <v>43</v>
      </c>
      <c r="G8" t="s">
        <v>19</v>
      </c>
      <c r="H8">
        <v>0</v>
      </c>
      <c r="I8">
        <v>5</v>
      </c>
      <c r="J8" t="s">
        <v>329</v>
      </c>
      <c r="M8">
        <v>32</v>
      </c>
      <c r="N8" s="2">
        <v>51500</v>
      </c>
      <c r="P8" s="1"/>
    </row>
    <row r="9" spans="1:17" x14ac:dyDescent="0.25">
      <c r="A9" s="1">
        <v>43330</v>
      </c>
      <c r="B9" t="s">
        <v>303</v>
      </c>
      <c r="C9" t="s">
        <v>304</v>
      </c>
      <c r="D9" t="s">
        <v>124</v>
      </c>
      <c r="E9" t="s">
        <v>64</v>
      </c>
      <c r="F9" t="s">
        <v>44</v>
      </c>
      <c r="G9" t="s">
        <v>19</v>
      </c>
      <c r="H9">
        <v>1</v>
      </c>
      <c r="I9">
        <v>2</v>
      </c>
      <c r="J9" t="s">
        <v>391</v>
      </c>
      <c r="M9">
        <v>73</v>
      </c>
      <c r="N9" s="2">
        <v>18440</v>
      </c>
      <c r="P9" s="1"/>
    </row>
    <row r="10" spans="1:17" x14ac:dyDescent="0.25">
      <c r="A10" s="1">
        <v>43337</v>
      </c>
      <c r="B10" t="s">
        <v>303</v>
      </c>
      <c r="C10" t="s">
        <v>307</v>
      </c>
      <c r="D10" t="s">
        <v>59</v>
      </c>
      <c r="E10" t="s">
        <v>64</v>
      </c>
      <c r="F10" t="s">
        <v>44</v>
      </c>
      <c r="G10" t="s">
        <v>18</v>
      </c>
      <c r="H10">
        <v>2</v>
      </c>
      <c r="I10">
        <v>0</v>
      </c>
      <c r="J10" t="s">
        <v>315</v>
      </c>
      <c r="K10">
        <v>0.8</v>
      </c>
      <c r="L10">
        <v>1.7</v>
      </c>
      <c r="M10">
        <v>47</v>
      </c>
      <c r="N10" s="2">
        <v>24000</v>
      </c>
    </row>
    <row r="11" spans="1:17" x14ac:dyDescent="0.25">
      <c r="A11" s="1">
        <v>43344</v>
      </c>
      <c r="B11" t="s">
        <v>303</v>
      </c>
      <c r="C11" t="s">
        <v>307</v>
      </c>
      <c r="D11" t="s">
        <v>61</v>
      </c>
      <c r="E11" t="s">
        <v>64</v>
      </c>
      <c r="F11" t="s">
        <v>43</v>
      </c>
      <c r="G11" t="s">
        <v>19</v>
      </c>
      <c r="H11">
        <v>1</v>
      </c>
      <c r="I11">
        <v>2</v>
      </c>
      <c r="J11" t="s">
        <v>325</v>
      </c>
      <c r="K11">
        <v>1.3</v>
      </c>
      <c r="L11">
        <v>1.3</v>
      </c>
      <c r="M11">
        <v>44</v>
      </c>
      <c r="N11" s="2">
        <v>50000</v>
      </c>
      <c r="Q11" s="1"/>
    </row>
    <row r="12" spans="1:17" x14ac:dyDescent="0.25">
      <c r="A12" s="1">
        <v>43357</v>
      </c>
      <c r="B12" t="s">
        <v>158</v>
      </c>
      <c r="C12" t="s">
        <v>307</v>
      </c>
      <c r="D12" t="s">
        <v>63</v>
      </c>
      <c r="E12" t="s">
        <v>60</v>
      </c>
      <c r="F12" t="s">
        <v>44</v>
      </c>
      <c r="G12" t="s">
        <v>19</v>
      </c>
      <c r="H12">
        <v>1</v>
      </c>
      <c r="I12">
        <v>3</v>
      </c>
      <c r="J12" t="s">
        <v>321</v>
      </c>
      <c r="K12">
        <v>0.3</v>
      </c>
      <c r="L12">
        <v>1.6</v>
      </c>
      <c r="M12">
        <v>40</v>
      </c>
      <c r="N12" s="2">
        <v>81000</v>
      </c>
    </row>
    <row r="13" spans="1:17" x14ac:dyDescent="0.25">
      <c r="A13" s="1">
        <v>43363</v>
      </c>
      <c r="B13" t="s">
        <v>201</v>
      </c>
      <c r="C13" t="s">
        <v>193</v>
      </c>
      <c r="D13" t="s">
        <v>119</v>
      </c>
      <c r="E13" t="s">
        <v>85</v>
      </c>
      <c r="F13" t="s">
        <v>44</v>
      </c>
      <c r="G13" t="s">
        <v>18</v>
      </c>
      <c r="H13">
        <v>2</v>
      </c>
      <c r="I13">
        <v>1</v>
      </c>
      <c r="J13" t="s">
        <v>345</v>
      </c>
      <c r="K13">
        <v>0.6</v>
      </c>
      <c r="L13">
        <v>2.5</v>
      </c>
      <c r="M13">
        <v>35</v>
      </c>
      <c r="P13" s="1"/>
    </row>
    <row r="14" spans="1:17" x14ac:dyDescent="0.25">
      <c r="A14" s="1">
        <v>43366</v>
      </c>
      <c r="B14" t="s">
        <v>209</v>
      </c>
      <c r="C14" t="s">
        <v>307</v>
      </c>
      <c r="D14" t="s">
        <v>66</v>
      </c>
      <c r="E14" t="s">
        <v>62</v>
      </c>
      <c r="F14" t="s">
        <v>43</v>
      </c>
      <c r="G14" t="s">
        <v>4</v>
      </c>
      <c r="H14">
        <v>1</v>
      </c>
      <c r="I14">
        <v>1</v>
      </c>
      <c r="J14" t="s">
        <v>333</v>
      </c>
      <c r="K14">
        <v>1.9</v>
      </c>
      <c r="L14">
        <v>2.2999999999999998</v>
      </c>
      <c r="M14">
        <v>47</v>
      </c>
      <c r="N14" s="2">
        <v>43800</v>
      </c>
    </row>
    <row r="15" spans="1:17" x14ac:dyDescent="0.25">
      <c r="A15" s="1">
        <v>43369</v>
      </c>
      <c r="B15" t="s">
        <v>158</v>
      </c>
      <c r="C15" t="s">
        <v>307</v>
      </c>
      <c r="D15" t="s">
        <v>68</v>
      </c>
      <c r="E15" t="s">
        <v>92</v>
      </c>
      <c r="F15" t="s">
        <v>44</v>
      </c>
      <c r="G15" t="s">
        <v>19</v>
      </c>
      <c r="H15">
        <v>1</v>
      </c>
      <c r="I15">
        <v>3</v>
      </c>
      <c r="J15" t="s">
        <v>332</v>
      </c>
      <c r="K15">
        <v>1</v>
      </c>
      <c r="L15">
        <v>1.6</v>
      </c>
      <c r="M15">
        <v>45</v>
      </c>
      <c r="N15" s="2">
        <v>41257</v>
      </c>
      <c r="Q15" s="1"/>
    </row>
    <row r="16" spans="1:17" x14ac:dyDescent="0.25">
      <c r="A16" s="1">
        <v>43373</v>
      </c>
      <c r="B16" t="s">
        <v>303</v>
      </c>
      <c r="C16" t="s">
        <v>307</v>
      </c>
      <c r="D16" t="s">
        <v>71</v>
      </c>
      <c r="E16" t="s">
        <v>62</v>
      </c>
      <c r="F16" t="s">
        <v>43</v>
      </c>
      <c r="G16" t="s">
        <v>18</v>
      </c>
      <c r="H16">
        <v>4</v>
      </c>
      <c r="I16">
        <v>1</v>
      </c>
      <c r="J16" t="s">
        <v>392</v>
      </c>
      <c r="K16">
        <v>2.2000000000000002</v>
      </c>
      <c r="L16">
        <v>0.5</v>
      </c>
      <c r="M16">
        <v>42</v>
      </c>
      <c r="N16" s="2">
        <v>46300</v>
      </c>
      <c r="Q16" s="1"/>
    </row>
    <row r="17" spans="1:17" x14ac:dyDescent="0.25">
      <c r="A17" s="1">
        <v>43377</v>
      </c>
      <c r="B17" t="s">
        <v>181</v>
      </c>
      <c r="C17" t="s">
        <v>193</v>
      </c>
      <c r="D17" t="s">
        <v>119</v>
      </c>
      <c r="E17" t="s">
        <v>85</v>
      </c>
      <c r="F17" t="s">
        <v>43</v>
      </c>
      <c r="G17" t="s">
        <v>18</v>
      </c>
      <c r="H17">
        <v>4</v>
      </c>
      <c r="I17">
        <v>1</v>
      </c>
      <c r="J17" t="s">
        <v>208</v>
      </c>
      <c r="K17">
        <v>3.2</v>
      </c>
      <c r="L17">
        <v>0.7</v>
      </c>
      <c r="M17">
        <v>46</v>
      </c>
      <c r="N17" s="2">
        <v>47000</v>
      </c>
      <c r="Q17" s="1"/>
    </row>
    <row r="18" spans="1:17" x14ac:dyDescent="0.25">
      <c r="A18" s="1">
        <v>43380</v>
      </c>
      <c r="B18" t="s">
        <v>303</v>
      </c>
      <c r="C18" t="s">
        <v>307</v>
      </c>
      <c r="D18" t="s">
        <v>72</v>
      </c>
      <c r="E18" t="s">
        <v>62</v>
      </c>
      <c r="F18" t="s">
        <v>44</v>
      </c>
      <c r="G18" t="s">
        <v>18</v>
      </c>
      <c r="H18">
        <v>2</v>
      </c>
      <c r="I18">
        <v>1</v>
      </c>
      <c r="J18" t="s">
        <v>319</v>
      </c>
      <c r="K18">
        <v>0.9</v>
      </c>
      <c r="L18">
        <v>2.7</v>
      </c>
      <c r="M18">
        <v>31</v>
      </c>
      <c r="N18" s="2">
        <v>29785</v>
      </c>
      <c r="P18" s="1"/>
      <c r="Q18" s="1"/>
    </row>
    <row r="19" spans="1:17" x14ac:dyDescent="0.25">
      <c r="A19" s="1">
        <v>43392</v>
      </c>
      <c r="B19" t="s">
        <v>158</v>
      </c>
      <c r="C19" t="s">
        <v>307</v>
      </c>
      <c r="D19" t="s">
        <v>74</v>
      </c>
      <c r="E19" t="s">
        <v>60</v>
      </c>
      <c r="F19" t="s">
        <v>43</v>
      </c>
      <c r="G19" t="s">
        <v>18</v>
      </c>
      <c r="H19">
        <v>7</v>
      </c>
      <c r="I19">
        <v>1</v>
      </c>
      <c r="J19" t="s">
        <v>378</v>
      </c>
      <c r="K19">
        <v>3.4</v>
      </c>
      <c r="L19">
        <v>0.7</v>
      </c>
      <c r="M19">
        <v>54</v>
      </c>
      <c r="N19" s="2">
        <v>51000</v>
      </c>
    </row>
    <row r="20" spans="1:17" x14ac:dyDescent="0.25">
      <c r="A20" s="1">
        <v>43398</v>
      </c>
      <c r="B20" t="s">
        <v>181</v>
      </c>
      <c r="C20" t="s">
        <v>193</v>
      </c>
      <c r="D20" t="s">
        <v>119</v>
      </c>
      <c r="E20" t="s">
        <v>85</v>
      </c>
      <c r="F20" t="s">
        <v>43</v>
      </c>
      <c r="G20" t="s">
        <v>18</v>
      </c>
      <c r="H20">
        <v>2</v>
      </c>
      <c r="I20">
        <v>0</v>
      </c>
      <c r="J20" t="s">
        <v>393</v>
      </c>
      <c r="K20">
        <v>2.9</v>
      </c>
      <c r="L20">
        <v>1.1000000000000001</v>
      </c>
      <c r="M20">
        <v>53</v>
      </c>
      <c r="N20" s="2">
        <v>47000</v>
      </c>
    </row>
    <row r="21" spans="1:17" x14ac:dyDescent="0.25">
      <c r="A21" s="1">
        <v>43401</v>
      </c>
      <c r="B21" t="s">
        <v>394</v>
      </c>
      <c r="C21" t="s">
        <v>307</v>
      </c>
      <c r="D21" t="s">
        <v>75</v>
      </c>
      <c r="E21" t="s">
        <v>62</v>
      </c>
      <c r="F21" t="s">
        <v>44</v>
      </c>
      <c r="G21" t="s">
        <v>4</v>
      </c>
      <c r="H21">
        <v>1</v>
      </c>
      <c r="I21">
        <v>1</v>
      </c>
      <c r="J21" t="s">
        <v>395</v>
      </c>
      <c r="K21">
        <v>1.1000000000000001</v>
      </c>
      <c r="L21">
        <v>0.9</v>
      </c>
      <c r="M21">
        <v>56</v>
      </c>
      <c r="N21" s="2">
        <v>42154</v>
      </c>
      <c r="Q21" s="1"/>
    </row>
    <row r="22" spans="1:17" x14ac:dyDescent="0.25">
      <c r="A22" s="1">
        <v>43406</v>
      </c>
      <c r="B22" t="s">
        <v>396</v>
      </c>
      <c r="C22" t="s">
        <v>307</v>
      </c>
      <c r="D22" t="s">
        <v>79</v>
      </c>
      <c r="E22" t="s">
        <v>60</v>
      </c>
      <c r="F22" t="s">
        <v>44</v>
      </c>
      <c r="G22" t="s">
        <v>18</v>
      </c>
      <c r="H22">
        <v>3</v>
      </c>
      <c r="I22">
        <v>0</v>
      </c>
      <c r="J22" t="s">
        <v>326</v>
      </c>
      <c r="K22">
        <v>2.7</v>
      </c>
      <c r="L22">
        <v>1</v>
      </c>
      <c r="M22">
        <v>47</v>
      </c>
      <c r="N22" s="2">
        <v>58016</v>
      </c>
    </row>
    <row r="23" spans="1:17" x14ac:dyDescent="0.25">
      <c r="A23" s="1">
        <v>43412</v>
      </c>
      <c r="B23" t="s">
        <v>225</v>
      </c>
      <c r="C23" t="s">
        <v>193</v>
      </c>
      <c r="D23" t="s">
        <v>119</v>
      </c>
      <c r="E23" t="s">
        <v>85</v>
      </c>
      <c r="F23" t="s">
        <v>44</v>
      </c>
      <c r="G23" t="s">
        <v>18</v>
      </c>
      <c r="H23">
        <v>3</v>
      </c>
      <c r="I23">
        <v>2</v>
      </c>
      <c r="J23" t="s">
        <v>393</v>
      </c>
      <c r="K23">
        <v>1.4</v>
      </c>
      <c r="L23">
        <v>1.6</v>
      </c>
      <c r="M23">
        <v>39</v>
      </c>
      <c r="N23" s="2">
        <v>6888</v>
      </c>
      <c r="P23" s="1"/>
      <c r="Q23" s="1"/>
    </row>
    <row r="24" spans="1:17" x14ac:dyDescent="0.25">
      <c r="A24" s="1">
        <v>43415</v>
      </c>
      <c r="B24" t="s">
        <v>209</v>
      </c>
      <c r="C24" t="s">
        <v>307</v>
      </c>
      <c r="D24" t="s">
        <v>81</v>
      </c>
      <c r="E24" t="s">
        <v>62</v>
      </c>
      <c r="F24" t="s">
        <v>43</v>
      </c>
      <c r="G24" t="s">
        <v>18</v>
      </c>
      <c r="H24">
        <v>3</v>
      </c>
      <c r="I24">
        <v>0</v>
      </c>
      <c r="J24" t="s">
        <v>348</v>
      </c>
      <c r="K24">
        <v>2.2000000000000002</v>
      </c>
      <c r="L24">
        <v>0.8</v>
      </c>
      <c r="M24">
        <v>51</v>
      </c>
      <c r="N24" s="2">
        <v>50700</v>
      </c>
    </row>
    <row r="25" spans="1:17" x14ac:dyDescent="0.25">
      <c r="A25" s="1">
        <v>43428</v>
      </c>
      <c r="B25" t="s">
        <v>303</v>
      </c>
      <c r="C25" t="s">
        <v>307</v>
      </c>
      <c r="D25" t="s">
        <v>83</v>
      </c>
      <c r="E25" t="s">
        <v>64</v>
      </c>
      <c r="F25" t="s">
        <v>44</v>
      </c>
      <c r="G25" t="s">
        <v>18</v>
      </c>
      <c r="H25">
        <v>3</v>
      </c>
      <c r="I25">
        <v>1</v>
      </c>
      <c r="J25" t="s">
        <v>327</v>
      </c>
      <c r="K25">
        <v>3.2</v>
      </c>
      <c r="L25">
        <v>1.6</v>
      </c>
      <c r="M25">
        <v>41</v>
      </c>
      <c r="N25" s="2">
        <v>30660</v>
      </c>
    </row>
    <row r="26" spans="1:17" x14ac:dyDescent="0.25">
      <c r="A26" s="1">
        <v>43433</v>
      </c>
      <c r="B26" t="s">
        <v>181</v>
      </c>
      <c r="C26" t="s">
        <v>193</v>
      </c>
      <c r="D26" t="s">
        <v>119</v>
      </c>
      <c r="E26" t="s">
        <v>85</v>
      </c>
      <c r="F26" t="s">
        <v>43</v>
      </c>
      <c r="G26" t="s">
        <v>18</v>
      </c>
      <c r="H26">
        <v>4</v>
      </c>
      <c r="I26">
        <v>0</v>
      </c>
      <c r="J26" t="s">
        <v>345</v>
      </c>
      <c r="K26">
        <v>3.8</v>
      </c>
      <c r="L26">
        <v>0.6</v>
      </c>
      <c r="M26">
        <v>47</v>
      </c>
      <c r="N26" s="2">
        <v>47000</v>
      </c>
      <c r="Q26" s="1"/>
    </row>
    <row r="27" spans="1:17" x14ac:dyDescent="0.25">
      <c r="A27" s="1">
        <v>43436</v>
      </c>
      <c r="B27" t="s">
        <v>209</v>
      </c>
      <c r="C27" t="s">
        <v>307</v>
      </c>
      <c r="D27" t="s">
        <v>84</v>
      </c>
      <c r="E27" t="s">
        <v>62</v>
      </c>
      <c r="F27" t="s">
        <v>43</v>
      </c>
      <c r="G27" t="s">
        <v>19</v>
      </c>
      <c r="H27">
        <v>1</v>
      </c>
      <c r="I27">
        <v>2</v>
      </c>
      <c r="J27" t="s">
        <v>316</v>
      </c>
      <c r="K27">
        <v>1.4</v>
      </c>
      <c r="L27">
        <v>1.5</v>
      </c>
      <c r="M27">
        <v>55</v>
      </c>
      <c r="N27" s="2">
        <v>48000</v>
      </c>
    </row>
    <row r="28" spans="1:17" x14ac:dyDescent="0.25">
      <c r="A28" s="1">
        <v>43442</v>
      </c>
      <c r="B28" t="s">
        <v>157</v>
      </c>
      <c r="C28" t="s">
        <v>307</v>
      </c>
      <c r="D28" t="s">
        <v>86</v>
      </c>
      <c r="E28" t="s">
        <v>64</v>
      </c>
      <c r="F28" t="s">
        <v>44</v>
      </c>
      <c r="G28" t="s">
        <v>19</v>
      </c>
      <c r="H28">
        <v>0</v>
      </c>
      <c r="I28">
        <v>1</v>
      </c>
      <c r="J28" t="s">
        <v>343</v>
      </c>
      <c r="K28">
        <v>1.3</v>
      </c>
      <c r="L28">
        <v>0.3</v>
      </c>
      <c r="M28">
        <v>61</v>
      </c>
      <c r="N28" s="2">
        <v>42578</v>
      </c>
    </row>
    <row r="29" spans="1:17" x14ac:dyDescent="0.25">
      <c r="A29" s="1">
        <v>43447</v>
      </c>
      <c r="B29" t="s">
        <v>201</v>
      </c>
      <c r="C29" t="s">
        <v>193</v>
      </c>
      <c r="D29" t="s">
        <v>119</v>
      </c>
      <c r="E29" t="s">
        <v>85</v>
      </c>
      <c r="F29" t="s">
        <v>44</v>
      </c>
      <c r="G29" t="s">
        <v>18</v>
      </c>
      <c r="H29">
        <v>2</v>
      </c>
      <c r="I29">
        <v>1</v>
      </c>
      <c r="J29" t="s">
        <v>208</v>
      </c>
      <c r="K29">
        <v>1.3</v>
      </c>
      <c r="L29">
        <v>1</v>
      </c>
      <c r="M29">
        <v>50</v>
      </c>
      <c r="N29" s="2">
        <v>18252</v>
      </c>
      <c r="P29" s="1"/>
      <c r="Q29" s="1"/>
    </row>
    <row r="30" spans="1:17" x14ac:dyDescent="0.25">
      <c r="A30" s="1">
        <v>43450</v>
      </c>
      <c r="B30" t="s">
        <v>209</v>
      </c>
      <c r="C30" t="s">
        <v>307</v>
      </c>
      <c r="D30" t="s">
        <v>87</v>
      </c>
      <c r="E30" t="s">
        <v>62</v>
      </c>
      <c r="F30" t="s">
        <v>43</v>
      </c>
      <c r="G30" t="s">
        <v>18</v>
      </c>
      <c r="H30">
        <v>2</v>
      </c>
      <c r="I30">
        <v>1</v>
      </c>
      <c r="J30" t="s">
        <v>331</v>
      </c>
      <c r="K30">
        <v>3.1</v>
      </c>
      <c r="L30">
        <v>0.8</v>
      </c>
      <c r="M30">
        <v>47</v>
      </c>
      <c r="N30" s="2">
        <v>46500</v>
      </c>
    </row>
    <row r="31" spans="1:17" x14ac:dyDescent="0.25">
      <c r="A31" s="1">
        <v>43453</v>
      </c>
      <c r="B31" t="s">
        <v>158</v>
      </c>
      <c r="C31" t="s">
        <v>307</v>
      </c>
      <c r="D31" t="s">
        <v>88</v>
      </c>
      <c r="E31" t="s">
        <v>92</v>
      </c>
      <c r="F31" t="s">
        <v>44</v>
      </c>
      <c r="G31" t="s">
        <v>4</v>
      </c>
      <c r="H31">
        <v>2</v>
      </c>
      <c r="I31">
        <v>2</v>
      </c>
      <c r="J31" t="s">
        <v>311</v>
      </c>
      <c r="K31">
        <v>1.1000000000000001</v>
      </c>
      <c r="L31">
        <v>1.7</v>
      </c>
      <c r="M31">
        <v>49</v>
      </c>
      <c r="N31" s="2">
        <v>30805</v>
      </c>
    </row>
    <row r="32" spans="1:17" x14ac:dyDescent="0.25">
      <c r="A32" s="1">
        <v>43456</v>
      </c>
      <c r="B32" t="s">
        <v>157</v>
      </c>
      <c r="C32" t="s">
        <v>307</v>
      </c>
      <c r="D32" t="s">
        <v>90</v>
      </c>
      <c r="E32" t="s">
        <v>64</v>
      </c>
      <c r="F32" t="s">
        <v>43</v>
      </c>
      <c r="G32" t="s">
        <v>19</v>
      </c>
      <c r="H32">
        <v>0</v>
      </c>
      <c r="I32">
        <v>3</v>
      </c>
      <c r="J32" t="s">
        <v>329</v>
      </c>
      <c r="K32">
        <v>1.1000000000000001</v>
      </c>
      <c r="L32">
        <v>1.6</v>
      </c>
      <c r="M32">
        <v>39</v>
      </c>
      <c r="N32" s="2">
        <v>51500</v>
      </c>
      <c r="P32" s="1"/>
    </row>
    <row r="33" spans="1:17" x14ac:dyDescent="0.25">
      <c r="A33" s="1">
        <v>43484</v>
      </c>
      <c r="B33" t="s">
        <v>303</v>
      </c>
      <c r="C33" t="s">
        <v>307</v>
      </c>
      <c r="D33" t="s">
        <v>93</v>
      </c>
      <c r="E33" t="s">
        <v>64</v>
      </c>
      <c r="F33" t="s">
        <v>43</v>
      </c>
      <c r="G33" t="s">
        <v>18</v>
      </c>
      <c r="H33">
        <v>3</v>
      </c>
      <c r="I33">
        <v>1</v>
      </c>
      <c r="J33" t="s">
        <v>315</v>
      </c>
      <c r="K33">
        <v>2.5</v>
      </c>
      <c r="L33">
        <v>1.9</v>
      </c>
      <c r="M33">
        <v>46</v>
      </c>
      <c r="N33" s="2">
        <v>49200</v>
      </c>
      <c r="Q33" s="1"/>
    </row>
    <row r="34" spans="1:17" x14ac:dyDescent="0.25">
      <c r="A34" s="1">
        <v>43491</v>
      </c>
      <c r="B34" t="s">
        <v>157</v>
      </c>
      <c r="C34" t="s">
        <v>307</v>
      </c>
      <c r="D34" t="s">
        <v>94</v>
      </c>
      <c r="E34" t="s">
        <v>64</v>
      </c>
      <c r="F34" t="s">
        <v>44</v>
      </c>
      <c r="G34" t="s">
        <v>4</v>
      </c>
      <c r="H34">
        <v>2</v>
      </c>
      <c r="I34">
        <v>2</v>
      </c>
      <c r="J34" t="s">
        <v>325</v>
      </c>
      <c r="K34">
        <v>1.3</v>
      </c>
      <c r="L34">
        <v>2.2999999999999998</v>
      </c>
      <c r="M34">
        <v>52</v>
      </c>
      <c r="N34" s="2">
        <v>42100</v>
      </c>
      <c r="Q34" s="1"/>
    </row>
    <row r="35" spans="1:17" x14ac:dyDescent="0.25">
      <c r="A35" s="1">
        <v>43498</v>
      </c>
      <c r="B35" t="s">
        <v>303</v>
      </c>
      <c r="C35" t="s">
        <v>307</v>
      </c>
      <c r="D35" t="s">
        <v>97</v>
      </c>
      <c r="E35" t="s">
        <v>64</v>
      </c>
      <c r="F35" t="s">
        <v>43</v>
      </c>
      <c r="G35" t="s">
        <v>4</v>
      </c>
      <c r="H35">
        <v>1</v>
      </c>
      <c r="I35">
        <v>1</v>
      </c>
      <c r="J35" t="s">
        <v>321</v>
      </c>
      <c r="K35">
        <v>1.4</v>
      </c>
      <c r="L35">
        <v>1.8</v>
      </c>
      <c r="M35">
        <v>41</v>
      </c>
      <c r="N35" s="2">
        <v>51500</v>
      </c>
    </row>
    <row r="36" spans="1:17" x14ac:dyDescent="0.25">
      <c r="A36" s="1">
        <v>43505</v>
      </c>
      <c r="B36" t="s">
        <v>303</v>
      </c>
      <c r="C36" t="s">
        <v>307</v>
      </c>
      <c r="D36" t="s">
        <v>98</v>
      </c>
      <c r="E36" t="s">
        <v>64</v>
      </c>
      <c r="F36" t="s">
        <v>44</v>
      </c>
      <c r="G36" t="s">
        <v>4</v>
      </c>
      <c r="H36">
        <v>0</v>
      </c>
      <c r="I36">
        <v>0</v>
      </c>
      <c r="J36" t="s">
        <v>333</v>
      </c>
      <c r="K36">
        <v>0.5</v>
      </c>
      <c r="L36">
        <v>1.5</v>
      </c>
      <c r="M36">
        <v>46</v>
      </c>
      <c r="N36" s="2">
        <v>38330</v>
      </c>
    </row>
    <row r="37" spans="1:17" x14ac:dyDescent="0.25">
      <c r="A37" s="1">
        <v>43510</v>
      </c>
      <c r="B37" t="s">
        <v>203</v>
      </c>
      <c r="C37" t="s">
        <v>193</v>
      </c>
      <c r="D37" t="s">
        <v>77</v>
      </c>
      <c r="E37" t="s">
        <v>85</v>
      </c>
      <c r="F37" t="s">
        <v>44</v>
      </c>
      <c r="G37" t="s">
        <v>4</v>
      </c>
      <c r="H37">
        <v>2</v>
      </c>
      <c r="I37">
        <v>2</v>
      </c>
      <c r="J37" t="s">
        <v>397</v>
      </c>
      <c r="K37">
        <v>2.1</v>
      </c>
      <c r="L37">
        <v>1.3</v>
      </c>
      <c r="M37">
        <v>59</v>
      </c>
      <c r="N37" s="2">
        <v>13059</v>
      </c>
    </row>
    <row r="38" spans="1:17" x14ac:dyDescent="0.25">
      <c r="A38" t="s">
        <v>0</v>
      </c>
      <c r="B38" t="s">
        <v>1</v>
      </c>
      <c r="C38" t="s">
        <v>16</v>
      </c>
      <c r="D38" t="s">
        <v>51</v>
      </c>
      <c r="E38" t="s">
        <v>52</v>
      </c>
      <c r="F38" t="s">
        <v>53</v>
      </c>
      <c r="G38" t="s">
        <v>54</v>
      </c>
      <c r="H38" t="s">
        <v>20</v>
      </c>
      <c r="I38" t="s">
        <v>21</v>
      </c>
      <c r="J38" t="s">
        <v>45</v>
      </c>
      <c r="K38" t="s">
        <v>55</v>
      </c>
      <c r="L38" t="s">
        <v>56</v>
      </c>
      <c r="M38" t="s">
        <v>57</v>
      </c>
      <c r="N38" t="s">
        <v>24</v>
      </c>
    </row>
    <row r="39" spans="1:17" x14ac:dyDescent="0.25">
      <c r="A39" s="1">
        <v>43513</v>
      </c>
      <c r="B39" t="s">
        <v>303</v>
      </c>
      <c r="C39" t="s">
        <v>307</v>
      </c>
      <c r="D39" t="s">
        <v>100</v>
      </c>
      <c r="E39" t="s">
        <v>62</v>
      </c>
      <c r="F39" t="s">
        <v>43</v>
      </c>
      <c r="G39" t="s">
        <v>4</v>
      </c>
      <c r="H39">
        <v>1</v>
      </c>
      <c r="I39">
        <v>1</v>
      </c>
      <c r="J39" t="s">
        <v>332</v>
      </c>
      <c r="K39">
        <v>1</v>
      </c>
      <c r="L39">
        <v>1.2</v>
      </c>
      <c r="M39">
        <v>41</v>
      </c>
      <c r="N39" s="2">
        <v>51500</v>
      </c>
      <c r="Q39" s="1"/>
    </row>
    <row r="40" spans="1:17" x14ac:dyDescent="0.25">
      <c r="A40" s="1">
        <v>43517</v>
      </c>
      <c r="B40" t="s">
        <v>201</v>
      </c>
      <c r="C40" t="s">
        <v>193</v>
      </c>
      <c r="D40" t="s">
        <v>77</v>
      </c>
      <c r="E40" t="s">
        <v>85</v>
      </c>
      <c r="F40" t="s">
        <v>43</v>
      </c>
      <c r="G40" t="s">
        <v>18</v>
      </c>
      <c r="H40">
        <v>4</v>
      </c>
      <c r="I40">
        <v>1</v>
      </c>
      <c r="J40" t="s">
        <v>397</v>
      </c>
      <c r="K40">
        <v>2.4</v>
      </c>
      <c r="L40">
        <v>0.9</v>
      </c>
      <c r="M40">
        <v>35</v>
      </c>
      <c r="N40" s="2">
        <v>47000</v>
      </c>
    </row>
    <row r="41" spans="1:17" x14ac:dyDescent="0.25">
      <c r="A41" s="1">
        <v>43520</v>
      </c>
      <c r="B41" t="s">
        <v>303</v>
      </c>
      <c r="C41" t="s">
        <v>307</v>
      </c>
      <c r="D41" t="s">
        <v>101</v>
      </c>
      <c r="E41" t="s">
        <v>62</v>
      </c>
      <c r="F41" t="s">
        <v>44</v>
      </c>
      <c r="G41" t="s">
        <v>18</v>
      </c>
      <c r="H41">
        <v>3</v>
      </c>
      <c r="I41">
        <v>0</v>
      </c>
      <c r="J41" t="s">
        <v>392</v>
      </c>
      <c r="K41">
        <v>2.1</v>
      </c>
      <c r="L41">
        <v>0.5</v>
      </c>
      <c r="M41">
        <v>50</v>
      </c>
      <c r="N41" s="2">
        <v>39100</v>
      </c>
    </row>
    <row r="42" spans="1:17" x14ac:dyDescent="0.25">
      <c r="A42" s="1">
        <v>43526</v>
      </c>
      <c r="B42" t="s">
        <v>303</v>
      </c>
      <c r="C42" t="s">
        <v>307</v>
      </c>
      <c r="D42" t="s">
        <v>102</v>
      </c>
      <c r="E42" t="s">
        <v>64</v>
      </c>
      <c r="F42" t="s">
        <v>43</v>
      </c>
      <c r="G42" t="s">
        <v>18</v>
      </c>
      <c r="H42">
        <v>3</v>
      </c>
      <c r="I42">
        <v>2</v>
      </c>
      <c r="J42" t="s">
        <v>319</v>
      </c>
      <c r="K42">
        <v>2.2999999999999998</v>
      </c>
      <c r="L42">
        <v>1.8</v>
      </c>
      <c r="M42">
        <v>51</v>
      </c>
      <c r="N42" s="2">
        <v>49500</v>
      </c>
      <c r="Q42" s="1"/>
    </row>
    <row r="43" spans="1:17" x14ac:dyDescent="0.25">
      <c r="A43" s="1">
        <v>43531</v>
      </c>
      <c r="B43" t="s">
        <v>201</v>
      </c>
      <c r="C43" t="s">
        <v>193</v>
      </c>
      <c r="D43" t="s">
        <v>91</v>
      </c>
      <c r="E43" t="s">
        <v>85</v>
      </c>
      <c r="F43" t="s">
        <v>43</v>
      </c>
      <c r="G43" t="s">
        <v>4</v>
      </c>
      <c r="H43">
        <v>0</v>
      </c>
      <c r="I43">
        <v>0</v>
      </c>
      <c r="J43" t="s">
        <v>233</v>
      </c>
      <c r="K43">
        <v>1.6</v>
      </c>
      <c r="L43">
        <v>1.5</v>
      </c>
      <c r="M43">
        <v>50</v>
      </c>
      <c r="N43" s="2">
        <v>48000</v>
      </c>
    </row>
    <row r="44" spans="1:17" x14ac:dyDescent="0.25">
      <c r="A44" s="1">
        <v>43535</v>
      </c>
      <c r="B44" t="s">
        <v>396</v>
      </c>
      <c r="C44" t="s">
        <v>307</v>
      </c>
      <c r="D44" t="s">
        <v>103</v>
      </c>
      <c r="E44" t="s">
        <v>117</v>
      </c>
      <c r="F44" t="s">
        <v>44</v>
      </c>
      <c r="G44" t="s">
        <v>18</v>
      </c>
      <c r="H44">
        <v>3</v>
      </c>
      <c r="I44">
        <v>0</v>
      </c>
      <c r="J44" t="s">
        <v>378</v>
      </c>
      <c r="K44">
        <v>2.5</v>
      </c>
      <c r="L44">
        <v>1</v>
      </c>
      <c r="M44">
        <v>55</v>
      </c>
      <c r="N44" s="2">
        <v>41419</v>
      </c>
    </row>
    <row r="45" spans="1:17" x14ac:dyDescent="0.25">
      <c r="A45" s="1">
        <v>43538</v>
      </c>
      <c r="B45" t="s">
        <v>198</v>
      </c>
      <c r="C45" t="s">
        <v>193</v>
      </c>
      <c r="D45" t="s">
        <v>91</v>
      </c>
      <c r="E45" t="s">
        <v>85</v>
      </c>
      <c r="F45" t="s">
        <v>44</v>
      </c>
      <c r="G45" t="s">
        <v>18</v>
      </c>
      <c r="H45">
        <v>1</v>
      </c>
      <c r="I45">
        <v>0</v>
      </c>
      <c r="J45" t="s">
        <v>233</v>
      </c>
      <c r="K45">
        <v>2.2000000000000002</v>
      </c>
      <c r="L45">
        <v>0.5</v>
      </c>
      <c r="M45">
        <v>46</v>
      </c>
      <c r="N45" s="2">
        <v>49866</v>
      </c>
    </row>
    <row r="46" spans="1:17" x14ac:dyDescent="0.25">
      <c r="A46" s="1">
        <v>43541</v>
      </c>
      <c r="B46" t="s">
        <v>287</v>
      </c>
      <c r="C46" t="s">
        <v>307</v>
      </c>
      <c r="D46" t="s">
        <v>104</v>
      </c>
      <c r="E46" t="s">
        <v>62</v>
      </c>
      <c r="F46" t="s">
        <v>43</v>
      </c>
      <c r="G46" t="s">
        <v>18</v>
      </c>
      <c r="H46">
        <v>1</v>
      </c>
      <c r="I46">
        <v>0</v>
      </c>
      <c r="J46" t="s">
        <v>395</v>
      </c>
      <c r="K46">
        <v>2.5</v>
      </c>
      <c r="L46">
        <v>0.7</v>
      </c>
      <c r="M46">
        <v>63</v>
      </c>
      <c r="N46" s="2">
        <v>51500</v>
      </c>
    </row>
    <row r="47" spans="1:17" x14ac:dyDescent="0.25">
      <c r="A47" s="1">
        <v>43555</v>
      </c>
      <c r="B47" t="s">
        <v>209</v>
      </c>
      <c r="C47" t="s">
        <v>307</v>
      </c>
      <c r="D47" t="s">
        <v>105</v>
      </c>
      <c r="E47" t="s">
        <v>62</v>
      </c>
      <c r="F47" t="s">
        <v>43</v>
      </c>
      <c r="G47" t="s">
        <v>18</v>
      </c>
      <c r="H47">
        <v>3</v>
      </c>
      <c r="I47">
        <v>0</v>
      </c>
      <c r="J47" t="s">
        <v>326</v>
      </c>
      <c r="K47">
        <v>1.7</v>
      </c>
      <c r="L47">
        <v>0.6</v>
      </c>
      <c r="M47">
        <v>50</v>
      </c>
      <c r="N47" s="2">
        <v>51500</v>
      </c>
      <c r="Q47" s="1"/>
    </row>
    <row r="48" spans="1:17" x14ac:dyDescent="0.25">
      <c r="A48" s="1">
        <v>43561</v>
      </c>
      <c r="B48" t="s">
        <v>303</v>
      </c>
      <c r="C48" t="s">
        <v>307</v>
      </c>
      <c r="D48" t="s">
        <v>106</v>
      </c>
      <c r="E48" t="s">
        <v>64</v>
      </c>
      <c r="F48" t="s">
        <v>44</v>
      </c>
      <c r="G48" t="s">
        <v>18</v>
      </c>
      <c r="H48">
        <v>2</v>
      </c>
      <c r="I48">
        <v>1</v>
      </c>
      <c r="J48" t="s">
        <v>348</v>
      </c>
      <c r="K48">
        <v>2.4</v>
      </c>
      <c r="L48">
        <v>0.6</v>
      </c>
      <c r="M48">
        <v>63</v>
      </c>
      <c r="N48" s="2">
        <v>61842</v>
      </c>
    </row>
    <row r="49" spans="1:17" x14ac:dyDescent="0.25">
      <c r="A49" s="1">
        <v>43566</v>
      </c>
      <c r="B49" t="s">
        <v>161</v>
      </c>
      <c r="C49" t="s">
        <v>193</v>
      </c>
      <c r="D49" t="s">
        <v>96</v>
      </c>
      <c r="E49" t="s">
        <v>85</v>
      </c>
      <c r="F49" t="s">
        <v>44</v>
      </c>
      <c r="G49" t="s">
        <v>19</v>
      </c>
      <c r="H49">
        <v>2</v>
      </c>
      <c r="I49">
        <v>4</v>
      </c>
      <c r="J49" t="s">
        <v>398</v>
      </c>
      <c r="K49">
        <v>1.2</v>
      </c>
      <c r="L49">
        <v>2</v>
      </c>
      <c r="M49">
        <v>39</v>
      </c>
      <c r="N49" s="2">
        <v>54175</v>
      </c>
    </row>
    <row r="50" spans="1:17" x14ac:dyDescent="0.25">
      <c r="A50" s="1">
        <v>43569</v>
      </c>
      <c r="B50" t="s">
        <v>209</v>
      </c>
      <c r="C50" t="s">
        <v>307</v>
      </c>
      <c r="D50" t="s">
        <v>107</v>
      </c>
      <c r="E50" t="s">
        <v>62</v>
      </c>
      <c r="F50" t="s">
        <v>43</v>
      </c>
      <c r="G50" t="s">
        <v>19</v>
      </c>
      <c r="H50">
        <v>1</v>
      </c>
      <c r="I50">
        <v>3</v>
      </c>
      <c r="J50" t="s">
        <v>327</v>
      </c>
      <c r="K50">
        <v>2</v>
      </c>
      <c r="L50">
        <v>2.1</v>
      </c>
      <c r="M50">
        <v>45</v>
      </c>
      <c r="N50" s="2">
        <v>51000</v>
      </c>
    </row>
    <row r="51" spans="1:17" x14ac:dyDescent="0.25">
      <c r="A51" s="1">
        <v>43573</v>
      </c>
      <c r="B51" t="s">
        <v>181</v>
      </c>
      <c r="C51" t="s">
        <v>193</v>
      </c>
      <c r="D51" t="s">
        <v>96</v>
      </c>
      <c r="E51" t="s">
        <v>85</v>
      </c>
      <c r="F51" t="s">
        <v>43</v>
      </c>
      <c r="G51" t="s">
        <v>18</v>
      </c>
      <c r="H51">
        <v>2</v>
      </c>
      <c r="I51">
        <v>0</v>
      </c>
      <c r="J51" t="s">
        <v>398</v>
      </c>
      <c r="K51">
        <v>1.1000000000000001</v>
      </c>
      <c r="L51">
        <v>0.5</v>
      </c>
      <c r="M51">
        <v>48</v>
      </c>
      <c r="N51" s="2">
        <v>48000</v>
      </c>
    </row>
    <row r="52" spans="1:17" x14ac:dyDescent="0.25">
      <c r="A52" s="1">
        <v>43577</v>
      </c>
      <c r="B52" t="s">
        <v>158</v>
      </c>
      <c r="C52" t="s">
        <v>307</v>
      </c>
      <c r="D52" t="s">
        <v>108</v>
      </c>
      <c r="E52" t="s">
        <v>117</v>
      </c>
      <c r="F52" t="s">
        <v>44</v>
      </c>
      <c r="G52" t="s">
        <v>4</v>
      </c>
      <c r="H52">
        <v>1</v>
      </c>
      <c r="I52">
        <v>1</v>
      </c>
      <c r="J52" t="s">
        <v>316</v>
      </c>
      <c r="K52">
        <v>1.5</v>
      </c>
      <c r="L52">
        <v>2.1</v>
      </c>
      <c r="M52">
        <v>41</v>
      </c>
      <c r="N52" s="2">
        <v>26102</v>
      </c>
    </row>
    <row r="53" spans="1:17" x14ac:dyDescent="0.25">
      <c r="A53" s="1">
        <v>43582</v>
      </c>
      <c r="B53" t="s">
        <v>303</v>
      </c>
      <c r="C53" t="s">
        <v>307</v>
      </c>
      <c r="D53" t="s">
        <v>109</v>
      </c>
      <c r="E53" t="s">
        <v>64</v>
      </c>
      <c r="F53" t="s">
        <v>43</v>
      </c>
      <c r="G53" t="s">
        <v>4</v>
      </c>
      <c r="H53">
        <v>0</v>
      </c>
      <c r="I53">
        <v>0</v>
      </c>
      <c r="J53" t="s">
        <v>343</v>
      </c>
      <c r="K53">
        <v>1.8</v>
      </c>
      <c r="L53">
        <v>1.2</v>
      </c>
      <c r="M53">
        <v>49</v>
      </c>
      <c r="N53" s="2">
        <v>51500</v>
      </c>
    </row>
    <row r="54" spans="1:17" x14ac:dyDescent="0.25">
      <c r="A54" s="1">
        <v>43587</v>
      </c>
      <c r="B54" t="s">
        <v>181</v>
      </c>
      <c r="C54" t="s">
        <v>193</v>
      </c>
      <c r="D54" t="s">
        <v>99</v>
      </c>
      <c r="E54" t="s">
        <v>85</v>
      </c>
      <c r="F54" t="s">
        <v>43</v>
      </c>
      <c r="G54" t="s">
        <v>4</v>
      </c>
      <c r="H54">
        <v>1</v>
      </c>
      <c r="I54">
        <v>1</v>
      </c>
      <c r="J54" t="s">
        <v>240</v>
      </c>
      <c r="K54">
        <v>0.6</v>
      </c>
      <c r="L54">
        <v>1.3</v>
      </c>
      <c r="M54">
        <v>33</v>
      </c>
      <c r="N54" s="2">
        <v>48000</v>
      </c>
      <c r="Q54" s="1"/>
    </row>
    <row r="55" spans="1:17" x14ac:dyDescent="0.25">
      <c r="A55" s="1">
        <v>43590</v>
      </c>
      <c r="B55" t="s">
        <v>209</v>
      </c>
      <c r="C55" t="s">
        <v>307</v>
      </c>
      <c r="D55" t="s">
        <v>110</v>
      </c>
      <c r="E55" t="s">
        <v>62</v>
      </c>
      <c r="F55" t="s">
        <v>44</v>
      </c>
      <c r="G55" t="s">
        <v>19</v>
      </c>
      <c r="H55">
        <v>1</v>
      </c>
      <c r="I55">
        <v>6</v>
      </c>
      <c r="J55" t="s">
        <v>331</v>
      </c>
      <c r="K55">
        <v>0.3</v>
      </c>
      <c r="L55">
        <v>2.8</v>
      </c>
      <c r="M55">
        <v>19</v>
      </c>
      <c r="N55" s="2">
        <v>30210</v>
      </c>
      <c r="P55" s="1"/>
      <c r="Q55" s="1"/>
    </row>
    <row r="56" spans="1:17" x14ac:dyDescent="0.25">
      <c r="A56" s="1">
        <v>43594</v>
      </c>
      <c r="B56" t="s">
        <v>161</v>
      </c>
      <c r="C56" t="s">
        <v>193</v>
      </c>
      <c r="D56" t="s">
        <v>99</v>
      </c>
      <c r="E56" t="s">
        <v>85</v>
      </c>
      <c r="F56" t="s">
        <v>44</v>
      </c>
      <c r="G56" t="s">
        <v>4</v>
      </c>
      <c r="H56" t="s">
        <v>164</v>
      </c>
      <c r="I56" t="s">
        <v>278</v>
      </c>
      <c r="J56" t="s">
        <v>240</v>
      </c>
      <c r="K56">
        <v>1.6</v>
      </c>
      <c r="L56">
        <v>0.8</v>
      </c>
      <c r="M56">
        <v>40</v>
      </c>
      <c r="N56" s="2">
        <v>36070</v>
      </c>
      <c r="Q56" s="1"/>
    </row>
    <row r="57" spans="1:17" x14ac:dyDescent="0.25">
      <c r="A57" s="1">
        <v>43597</v>
      </c>
      <c r="B57" t="s">
        <v>209</v>
      </c>
      <c r="C57" t="s">
        <v>307</v>
      </c>
      <c r="D57" t="s">
        <v>111</v>
      </c>
      <c r="E57" t="s">
        <v>62</v>
      </c>
      <c r="F57" t="s">
        <v>43</v>
      </c>
      <c r="G57" t="s">
        <v>19</v>
      </c>
      <c r="H57">
        <v>0</v>
      </c>
      <c r="I57">
        <v>2</v>
      </c>
      <c r="J57" t="s">
        <v>311</v>
      </c>
      <c r="K57">
        <v>1.7</v>
      </c>
      <c r="L57">
        <v>1.3</v>
      </c>
      <c r="M57">
        <v>57</v>
      </c>
      <c r="N57" s="2">
        <v>51500</v>
      </c>
    </row>
    <row r="58" spans="1:17" x14ac:dyDescent="0.25">
      <c r="A58" s="1">
        <v>43603</v>
      </c>
      <c r="B58" t="s">
        <v>303</v>
      </c>
      <c r="C58" t="s">
        <v>307</v>
      </c>
      <c r="D58" t="s">
        <v>112</v>
      </c>
      <c r="E58" t="s">
        <v>64</v>
      </c>
      <c r="F58" t="s">
        <v>44</v>
      </c>
      <c r="G58" t="s">
        <v>19</v>
      </c>
      <c r="H58">
        <v>1</v>
      </c>
      <c r="I58">
        <v>5</v>
      </c>
      <c r="J58" t="s">
        <v>329</v>
      </c>
      <c r="K58">
        <v>0.9</v>
      </c>
      <c r="L58">
        <v>4.5999999999999996</v>
      </c>
      <c r="M58">
        <v>39</v>
      </c>
      <c r="N58" s="2">
        <v>75000</v>
      </c>
    </row>
    <row r="60" spans="1:17" x14ac:dyDescent="0.25">
      <c r="A60" t="s">
        <v>298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626C1-1002-4A3C-9F2D-331BA6462C63}">
  <dimension ref="A1:Q65"/>
  <sheetViews>
    <sheetView workbookViewId="0">
      <selection activeCell="O1" sqref="O1:U1048576"/>
    </sheetView>
  </sheetViews>
  <sheetFormatPr defaultRowHeight="15" x14ac:dyDescent="0.25"/>
  <cols>
    <col min="1" max="1" width="10.28515625" customWidth="1"/>
  </cols>
  <sheetData>
    <row r="1" spans="1:17" x14ac:dyDescent="0.25">
      <c r="A1" t="s">
        <v>371</v>
      </c>
    </row>
    <row r="2" spans="1:17" x14ac:dyDescent="0.25">
      <c r="A2" t="s">
        <v>372</v>
      </c>
    </row>
    <row r="3" spans="1:17" x14ac:dyDescent="0.25">
      <c r="A3" t="s">
        <v>373</v>
      </c>
    </row>
    <row r="4" spans="1:17" x14ac:dyDescent="0.25">
      <c r="A4" t="s">
        <v>374</v>
      </c>
    </row>
    <row r="7" spans="1:17" x14ac:dyDescent="0.25">
      <c r="A7" t="s">
        <v>0</v>
      </c>
      <c r="B7" t="s">
        <v>1</v>
      </c>
      <c r="C7" t="s">
        <v>16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 t="s">
        <v>45</v>
      </c>
      <c r="K7" t="s">
        <v>55</v>
      </c>
      <c r="L7" t="s">
        <v>56</v>
      </c>
      <c r="M7" t="s">
        <v>57</v>
      </c>
      <c r="N7" t="s">
        <v>24</v>
      </c>
    </row>
    <row r="8" spans="1:17" x14ac:dyDescent="0.25">
      <c r="A8" s="1">
        <v>43671</v>
      </c>
      <c r="B8" t="s">
        <v>199</v>
      </c>
      <c r="C8" t="s">
        <v>193</v>
      </c>
      <c r="D8" t="s">
        <v>194</v>
      </c>
      <c r="E8" t="s">
        <v>85</v>
      </c>
      <c r="F8" t="s">
        <v>44</v>
      </c>
      <c r="G8" t="s">
        <v>18</v>
      </c>
      <c r="H8">
        <v>2</v>
      </c>
      <c r="I8">
        <v>1</v>
      </c>
      <c r="J8" t="s">
        <v>375</v>
      </c>
      <c r="N8" s="2">
        <v>8500</v>
      </c>
      <c r="P8" s="1"/>
    </row>
    <row r="9" spans="1:17" x14ac:dyDescent="0.25">
      <c r="A9" s="1">
        <v>43678</v>
      </c>
      <c r="B9" t="s">
        <v>158</v>
      </c>
      <c r="C9" t="s">
        <v>193</v>
      </c>
      <c r="D9" t="s">
        <v>194</v>
      </c>
      <c r="E9" t="s">
        <v>85</v>
      </c>
      <c r="F9" t="s">
        <v>43</v>
      </c>
      <c r="G9" t="s">
        <v>18</v>
      </c>
      <c r="H9">
        <v>2</v>
      </c>
      <c r="I9">
        <v>1</v>
      </c>
      <c r="J9" t="s">
        <v>375</v>
      </c>
      <c r="N9" s="2">
        <v>48000</v>
      </c>
      <c r="P9" s="1"/>
    </row>
    <row r="10" spans="1:17" x14ac:dyDescent="0.25">
      <c r="A10" s="1">
        <v>43685</v>
      </c>
      <c r="B10" t="s">
        <v>158</v>
      </c>
      <c r="C10" t="s">
        <v>193</v>
      </c>
      <c r="D10" t="s">
        <v>196</v>
      </c>
      <c r="E10" t="s">
        <v>85</v>
      </c>
      <c r="F10" t="s">
        <v>44</v>
      </c>
      <c r="G10" t="s">
        <v>18</v>
      </c>
      <c r="H10">
        <v>5</v>
      </c>
      <c r="I10">
        <v>0</v>
      </c>
      <c r="J10" t="s">
        <v>376</v>
      </c>
      <c r="N10" s="2">
        <v>5908</v>
      </c>
      <c r="P10" s="1"/>
      <c r="Q10" s="1"/>
    </row>
    <row r="11" spans="1:17" x14ac:dyDescent="0.25">
      <c r="A11" s="1">
        <v>43688</v>
      </c>
      <c r="B11" t="s">
        <v>303</v>
      </c>
      <c r="C11" t="s">
        <v>304</v>
      </c>
      <c r="D11" t="s">
        <v>124</v>
      </c>
      <c r="E11" t="s">
        <v>62</v>
      </c>
      <c r="F11" t="s">
        <v>44</v>
      </c>
      <c r="G11" t="s">
        <v>18</v>
      </c>
      <c r="H11">
        <v>5</v>
      </c>
      <c r="I11">
        <v>3</v>
      </c>
      <c r="J11" t="s">
        <v>354</v>
      </c>
      <c r="M11">
        <v>61</v>
      </c>
      <c r="N11" s="2">
        <v>24302</v>
      </c>
    </row>
    <row r="12" spans="1:17" x14ac:dyDescent="0.25">
      <c r="A12" s="1">
        <v>43692</v>
      </c>
      <c r="B12" t="s">
        <v>158</v>
      </c>
      <c r="C12" t="s">
        <v>193</v>
      </c>
      <c r="D12" t="s">
        <v>196</v>
      </c>
      <c r="E12" t="s">
        <v>85</v>
      </c>
      <c r="F12" t="s">
        <v>43</v>
      </c>
      <c r="G12" t="s">
        <v>18</v>
      </c>
      <c r="H12">
        <v>1</v>
      </c>
      <c r="I12">
        <v>0</v>
      </c>
      <c r="J12" t="s">
        <v>376</v>
      </c>
      <c r="N12" s="2">
        <v>48000</v>
      </c>
      <c r="P12" s="1"/>
      <c r="Q12" s="1"/>
    </row>
    <row r="13" spans="1:17" x14ac:dyDescent="0.25">
      <c r="A13" s="1">
        <v>43695</v>
      </c>
      <c r="B13" t="s">
        <v>303</v>
      </c>
      <c r="C13" t="s">
        <v>307</v>
      </c>
      <c r="D13" t="s">
        <v>59</v>
      </c>
      <c r="E13" t="s">
        <v>62</v>
      </c>
      <c r="F13" t="s">
        <v>43</v>
      </c>
      <c r="G13" t="s">
        <v>18</v>
      </c>
      <c r="H13">
        <v>1</v>
      </c>
      <c r="I13">
        <v>0</v>
      </c>
      <c r="J13" t="s">
        <v>319</v>
      </c>
      <c r="K13">
        <v>1.8</v>
      </c>
      <c r="L13">
        <v>0.8</v>
      </c>
      <c r="M13">
        <v>33</v>
      </c>
      <c r="N13" s="2">
        <v>50200</v>
      </c>
      <c r="P13" s="1"/>
      <c r="Q13" s="1"/>
    </row>
    <row r="14" spans="1:17" x14ac:dyDescent="0.25">
      <c r="A14" s="1">
        <v>43699</v>
      </c>
      <c r="B14" t="s">
        <v>158</v>
      </c>
      <c r="C14" t="s">
        <v>193</v>
      </c>
      <c r="D14" t="s">
        <v>172</v>
      </c>
      <c r="E14" t="s">
        <v>85</v>
      </c>
      <c r="F14" t="s">
        <v>44</v>
      </c>
      <c r="G14" t="s">
        <v>19</v>
      </c>
      <c r="H14">
        <v>0</v>
      </c>
      <c r="I14">
        <v>1</v>
      </c>
      <c r="J14" t="s">
        <v>377</v>
      </c>
      <c r="M14">
        <v>54</v>
      </c>
      <c r="N14" s="2">
        <v>21708</v>
      </c>
      <c r="P14" s="1"/>
      <c r="Q14" s="1"/>
    </row>
    <row r="15" spans="1:17" x14ac:dyDescent="0.25">
      <c r="A15" s="1">
        <v>43702</v>
      </c>
      <c r="B15" t="s">
        <v>303</v>
      </c>
      <c r="C15" t="s">
        <v>307</v>
      </c>
      <c r="D15" t="s">
        <v>61</v>
      </c>
      <c r="E15" t="s">
        <v>62</v>
      </c>
      <c r="F15" t="s">
        <v>44</v>
      </c>
      <c r="G15" t="s">
        <v>19</v>
      </c>
      <c r="H15">
        <v>1</v>
      </c>
      <c r="I15">
        <v>2</v>
      </c>
      <c r="J15" t="s">
        <v>333</v>
      </c>
      <c r="K15">
        <v>1</v>
      </c>
      <c r="L15">
        <v>1.4</v>
      </c>
      <c r="M15">
        <v>56</v>
      </c>
      <c r="N15" s="2">
        <v>40108</v>
      </c>
      <c r="Q15" s="1"/>
    </row>
    <row r="16" spans="1:17" x14ac:dyDescent="0.25">
      <c r="A16" s="1">
        <v>43706</v>
      </c>
      <c r="B16" t="s">
        <v>158</v>
      </c>
      <c r="C16" t="s">
        <v>193</v>
      </c>
      <c r="D16" t="s">
        <v>172</v>
      </c>
      <c r="E16" t="s">
        <v>85</v>
      </c>
      <c r="F16" t="s">
        <v>43</v>
      </c>
      <c r="G16" t="s">
        <v>18</v>
      </c>
      <c r="H16">
        <v>3</v>
      </c>
      <c r="I16">
        <v>0</v>
      </c>
      <c r="J16" t="s">
        <v>377</v>
      </c>
      <c r="M16">
        <v>46</v>
      </c>
      <c r="N16" s="2">
        <v>47000</v>
      </c>
      <c r="Q16" s="1"/>
    </row>
    <row r="17" spans="1:17" x14ac:dyDescent="0.25">
      <c r="A17" s="1">
        <v>43709</v>
      </c>
      <c r="B17" t="s">
        <v>209</v>
      </c>
      <c r="C17" t="s">
        <v>307</v>
      </c>
      <c r="D17" t="s">
        <v>63</v>
      </c>
      <c r="E17" t="s">
        <v>62</v>
      </c>
      <c r="F17" t="s">
        <v>43</v>
      </c>
      <c r="G17" t="s">
        <v>18</v>
      </c>
      <c r="H17">
        <v>2</v>
      </c>
      <c r="I17">
        <v>1</v>
      </c>
      <c r="J17" t="s">
        <v>378</v>
      </c>
      <c r="K17">
        <v>1.7</v>
      </c>
      <c r="L17">
        <v>0.9</v>
      </c>
      <c r="M17">
        <v>58</v>
      </c>
      <c r="N17" s="2">
        <v>49800</v>
      </c>
      <c r="Q17" s="1"/>
    </row>
    <row r="18" spans="1:17" x14ac:dyDescent="0.25">
      <c r="A18" s="1">
        <v>43722</v>
      </c>
      <c r="B18" t="s">
        <v>303</v>
      </c>
      <c r="C18" t="s">
        <v>307</v>
      </c>
      <c r="D18" t="s">
        <v>66</v>
      </c>
      <c r="E18" t="s">
        <v>64</v>
      </c>
      <c r="F18" t="s">
        <v>44</v>
      </c>
      <c r="G18" t="s">
        <v>19</v>
      </c>
      <c r="H18">
        <v>1</v>
      </c>
      <c r="I18">
        <v>2</v>
      </c>
      <c r="J18" t="s">
        <v>327</v>
      </c>
      <c r="K18">
        <v>1.1000000000000001</v>
      </c>
      <c r="L18">
        <v>1.3</v>
      </c>
      <c r="M18">
        <v>69</v>
      </c>
      <c r="N18" s="2">
        <v>28513</v>
      </c>
      <c r="Q18" s="1"/>
    </row>
    <row r="19" spans="1:17" x14ac:dyDescent="0.25">
      <c r="A19" s="1">
        <v>43727</v>
      </c>
      <c r="B19" t="s">
        <v>201</v>
      </c>
      <c r="C19" t="s">
        <v>193</v>
      </c>
      <c r="D19" t="s">
        <v>119</v>
      </c>
      <c r="E19" t="s">
        <v>85</v>
      </c>
      <c r="F19" t="s">
        <v>43</v>
      </c>
      <c r="G19" t="s">
        <v>19</v>
      </c>
      <c r="H19">
        <v>0</v>
      </c>
      <c r="I19">
        <v>3</v>
      </c>
      <c r="J19" t="s">
        <v>286</v>
      </c>
      <c r="K19">
        <v>1.8</v>
      </c>
      <c r="L19">
        <v>3.2</v>
      </c>
      <c r="M19">
        <v>56</v>
      </c>
      <c r="N19" s="2">
        <v>47000</v>
      </c>
    </row>
    <row r="20" spans="1:17" x14ac:dyDescent="0.25">
      <c r="A20" s="1">
        <v>43730</v>
      </c>
      <c r="B20" t="s">
        <v>209</v>
      </c>
      <c r="C20" t="s">
        <v>307</v>
      </c>
      <c r="D20" t="s">
        <v>68</v>
      </c>
      <c r="E20" t="s">
        <v>62</v>
      </c>
      <c r="F20" t="s">
        <v>43</v>
      </c>
      <c r="G20" t="s">
        <v>4</v>
      </c>
      <c r="H20">
        <v>2</v>
      </c>
      <c r="I20">
        <v>2</v>
      </c>
      <c r="J20" t="s">
        <v>321</v>
      </c>
      <c r="K20">
        <v>1.3</v>
      </c>
      <c r="L20">
        <v>1.9</v>
      </c>
      <c r="M20">
        <v>38</v>
      </c>
      <c r="N20" s="2">
        <v>51500</v>
      </c>
    </row>
    <row r="21" spans="1:17" x14ac:dyDescent="0.25">
      <c r="A21" s="1">
        <v>43735</v>
      </c>
      <c r="B21" t="s">
        <v>158</v>
      </c>
      <c r="C21" t="s">
        <v>307</v>
      </c>
      <c r="D21" t="s">
        <v>71</v>
      </c>
      <c r="E21" t="s">
        <v>60</v>
      </c>
      <c r="F21" t="s">
        <v>44</v>
      </c>
      <c r="G21" t="s">
        <v>18</v>
      </c>
      <c r="H21">
        <v>2</v>
      </c>
      <c r="I21">
        <v>1</v>
      </c>
      <c r="J21" t="s">
        <v>323</v>
      </c>
      <c r="K21">
        <v>2</v>
      </c>
      <c r="L21">
        <v>0.9</v>
      </c>
      <c r="M21">
        <v>47</v>
      </c>
      <c r="N21" s="2">
        <v>22012</v>
      </c>
    </row>
    <row r="22" spans="1:17" x14ac:dyDescent="0.25">
      <c r="A22" s="1">
        <v>43741</v>
      </c>
      <c r="B22" t="s">
        <v>161</v>
      </c>
      <c r="C22" t="s">
        <v>193</v>
      </c>
      <c r="D22" t="s">
        <v>119</v>
      </c>
      <c r="E22" t="s">
        <v>85</v>
      </c>
      <c r="F22" t="s">
        <v>44</v>
      </c>
      <c r="G22" t="s">
        <v>18</v>
      </c>
      <c r="H22">
        <v>1</v>
      </c>
      <c r="I22">
        <v>0</v>
      </c>
      <c r="J22" t="s">
        <v>379</v>
      </c>
      <c r="K22">
        <v>1.7</v>
      </c>
      <c r="L22">
        <v>0.8</v>
      </c>
      <c r="M22">
        <v>54</v>
      </c>
      <c r="N22" s="2">
        <v>27000</v>
      </c>
      <c r="Q22" s="1"/>
    </row>
    <row r="23" spans="1:17" x14ac:dyDescent="0.25">
      <c r="A23" s="1">
        <v>43744</v>
      </c>
      <c r="B23" t="s">
        <v>209</v>
      </c>
      <c r="C23" t="s">
        <v>307</v>
      </c>
      <c r="D23" t="s">
        <v>72</v>
      </c>
      <c r="E23" t="s">
        <v>62</v>
      </c>
      <c r="F23" t="s">
        <v>43</v>
      </c>
      <c r="G23" t="s">
        <v>4</v>
      </c>
      <c r="H23">
        <v>2</v>
      </c>
      <c r="I23">
        <v>2</v>
      </c>
      <c r="J23" t="s">
        <v>325</v>
      </c>
      <c r="K23">
        <v>2.9</v>
      </c>
      <c r="L23">
        <v>1.8</v>
      </c>
      <c r="M23">
        <v>63</v>
      </c>
      <c r="N23" s="2">
        <v>51500</v>
      </c>
      <c r="Q23" s="1"/>
    </row>
    <row r="24" spans="1:17" x14ac:dyDescent="0.25">
      <c r="A24" s="1">
        <v>43756</v>
      </c>
      <c r="B24" t="s">
        <v>158</v>
      </c>
      <c r="C24" t="s">
        <v>307</v>
      </c>
      <c r="D24" t="s">
        <v>74</v>
      </c>
      <c r="E24" t="s">
        <v>60</v>
      </c>
      <c r="F24" t="s">
        <v>43</v>
      </c>
      <c r="G24" t="s">
        <v>18</v>
      </c>
      <c r="H24">
        <v>3</v>
      </c>
      <c r="I24">
        <v>0</v>
      </c>
      <c r="J24" t="s">
        <v>331</v>
      </c>
      <c r="K24">
        <v>2.7</v>
      </c>
      <c r="L24">
        <v>1.7</v>
      </c>
      <c r="M24">
        <v>35</v>
      </c>
      <c r="N24" s="2">
        <v>50800</v>
      </c>
      <c r="Q24" s="1"/>
    </row>
    <row r="25" spans="1:17" x14ac:dyDescent="0.25">
      <c r="A25" s="1">
        <v>43762</v>
      </c>
      <c r="B25" t="s">
        <v>181</v>
      </c>
      <c r="C25" t="s">
        <v>193</v>
      </c>
      <c r="D25" t="s">
        <v>119</v>
      </c>
      <c r="E25" t="s">
        <v>85</v>
      </c>
      <c r="F25" t="s">
        <v>43</v>
      </c>
      <c r="G25" t="s">
        <v>18</v>
      </c>
      <c r="H25">
        <v>2</v>
      </c>
      <c r="I25">
        <v>1</v>
      </c>
      <c r="J25" t="s">
        <v>202</v>
      </c>
      <c r="K25">
        <v>1.6</v>
      </c>
      <c r="L25">
        <v>1</v>
      </c>
      <c r="M25">
        <v>62</v>
      </c>
      <c r="N25" s="2">
        <v>47000</v>
      </c>
      <c r="P25" s="1"/>
    </row>
    <row r="26" spans="1:17" x14ac:dyDescent="0.25">
      <c r="A26" s="1">
        <v>43765</v>
      </c>
      <c r="B26" t="s">
        <v>380</v>
      </c>
      <c r="C26" t="s">
        <v>307</v>
      </c>
      <c r="D26" t="s">
        <v>75</v>
      </c>
      <c r="E26" t="s">
        <v>62</v>
      </c>
      <c r="F26" t="s">
        <v>44</v>
      </c>
      <c r="G26" t="s">
        <v>19</v>
      </c>
      <c r="H26">
        <v>2</v>
      </c>
      <c r="I26">
        <v>4</v>
      </c>
      <c r="J26" t="s">
        <v>332</v>
      </c>
      <c r="K26">
        <v>1.2</v>
      </c>
      <c r="L26">
        <v>1.7</v>
      </c>
      <c r="M26">
        <v>51</v>
      </c>
      <c r="N26" s="2">
        <v>52300</v>
      </c>
      <c r="Q26" s="1"/>
    </row>
    <row r="27" spans="1:17" x14ac:dyDescent="0.25">
      <c r="A27" s="1">
        <v>43768</v>
      </c>
      <c r="B27" t="s">
        <v>180</v>
      </c>
      <c r="C27" t="s">
        <v>304</v>
      </c>
      <c r="D27" t="s">
        <v>126</v>
      </c>
      <c r="E27" t="s">
        <v>92</v>
      </c>
      <c r="F27" t="s">
        <v>44</v>
      </c>
      <c r="G27" t="s">
        <v>18</v>
      </c>
      <c r="H27">
        <v>2</v>
      </c>
      <c r="I27">
        <v>1</v>
      </c>
      <c r="J27" t="s">
        <v>381</v>
      </c>
      <c r="M27">
        <v>60</v>
      </c>
      <c r="N27" s="2">
        <v>29500</v>
      </c>
    </row>
    <row r="28" spans="1:17" x14ac:dyDescent="0.25">
      <c r="A28" s="1">
        <v>43771</v>
      </c>
      <c r="B28" t="s">
        <v>287</v>
      </c>
      <c r="C28" t="s">
        <v>307</v>
      </c>
      <c r="D28" t="s">
        <v>79</v>
      </c>
      <c r="E28" t="s">
        <v>64</v>
      </c>
      <c r="F28" t="s">
        <v>43</v>
      </c>
      <c r="G28" t="s">
        <v>18</v>
      </c>
      <c r="H28">
        <v>5</v>
      </c>
      <c r="I28">
        <v>1</v>
      </c>
      <c r="J28" t="s">
        <v>329</v>
      </c>
      <c r="K28">
        <v>3.3</v>
      </c>
      <c r="L28">
        <v>1.7</v>
      </c>
      <c r="M28">
        <v>40</v>
      </c>
      <c r="N28" s="2">
        <v>51500</v>
      </c>
    </row>
    <row r="29" spans="1:17" x14ac:dyDescent="0.25">
      <c r="A29" s="1">
        <v>43776</v>
      </c>
      <c r="B29" t="s">
        <v>201</v>
      </c>
      <c r="C29" t="s">
        <v>193</v>
      </c>
      <c r="D29" t="s">
        <v>119</v>
      </c>
      <c r="E29" t="s">
        <v>85</v>
      </c>
      <c r="F29" t="s">
        <v>44</v>
      </c>
      <c r="G29" t="s">
        <v>19</v>
      </c>
      <c r="H29">
        <v>1</v>
      </c>
      <c r="I29">
        <v>2</v>
      </c>
      <c r="J29" t="s">
        <v>202</v>
      </c>
      <c r="K29">
        <v>2.2000000000000002</v>
      </c>
      <c r="L29">
        <v>1.9</v>
      </c>
      <c r="M29">
        <v>57</v>
      </c>
      <c r="N29" s="2">
        <v>20000</v>
      </c>
      <c r="P29" s="1"/>
      <c r="Q29" s="1"/>
    </row>
    <row r="30" spans="1:17" x14ac:dyDescent="0.25">
      <c r="A30" s="1">
        <v>43779</v>
      </c>
      <c r="B30" t="s">
        <v>209</v>
      </c>
      <c r="C30" t="s">
        <v>307</v>
      </c>
      <c r="D30" t="s">
        <v>81</v>
      </c>
      <c r="E30" t="s">
        <v>62</v>
      </c>
      <c r="F30" t="s">
        <v>44</v>
      </c>
      <c r="G30" t="s">
        <v>19</v>
      </c>
      <c r="H30">
        <v>0</v>
      </c>
      <c r="I30">
        <v>1</v>
      </c>
      <c r="J30" t="s">
        <v>315</v>
      </c>
      <c r="K30">
        <v>1.4</v>
      </c>
      <c r="L30">
        <v>0.9</v>
      </c>
      <c r="M30">
        <v>48</v>
      </c>
      <c r="N30" s="2">
        <v>24000</v>
      </c>
      <c r="Q30" s="1"/>
    </row>
    <row r="31" spans="1:17" x14ac:dyDescent="0.25">
      <c r="A31" s="1">
        <v>43792</v>
      </c>
      <c r="B31" t="s">
        <v>303</v>
      </c>
      <c r="C31" t="s">
        <v>307</v>
      </c>
      <c r="D31" t="s">
        <v>83</v>
      </c>
      <c r="E31" t="s">
        <v>64</v>
      </c>
      <c r="F31" t="s">
        <v>43</v>
      </c>
      <c r="G31" t="s">
        <v>19</v>
      </c>
      <c r="H31">
        <v>0</v>
      </c>
      <c r="I31">
        <v>2</v>
      </c>
      <c r="J31" t="s">
        <v>316</v>
      </c>
      <c r="K31">
        <v>0.9</v>
      </c>
      <c r="L31">
        <v>1.3</v>
      </c>
      <c r="M31">
        <v>68</v>
      </c>
      <c r="N31" s="2">
        <v>50700</v>
      </c>
      <c r="Q31" s="1"/>
    </row>
    <row r="32" spans="1:17" x14ac:dyDescent="0.25">
      <c r="A32" s="1">
        <v>43797</v>
      </c>
      <c r="B32" t="s">
        <v>161</v>
      </c>
      <c r="C32" t="s">
        <v>193</v>
      </c>
      <c r="D32" t="s">
        <v>119</v>
      </c>
      <c r="E32" t="s">
        <v>85</v>
      </c>
      <c r="F32" t="s">
        <v>44</v>
      </c>
      <c r="G32" t="s">
        <v>18</v>
      </c>
      <c r="H32">
        <v>2</v>
      </c>
      <c r="I32">
        <v>1</v>
      </c>
      <c r="J32" t="s">
        <v>286</v>
      </c>
      <c r="K32">
        <v>1.2</v>
      </c>
      <c r="L32">
        <v>1.3</v>
      </c>
      <c r="M32">
        <v>42</v>
      </c>
      <c r="N32" s="2">
        <v>49419</v>
      </c>
    </row>
    <row r="33" spans="1:17" x14ac:dyDescent="0.25">
      <c r="A33" s="1">
        <v>43801</v>
      </c>
      <c r="B33" t="s">
        <v>158</v>
      </c>
      <c r="C33" t="s">
        <v>307</v>
      </c>
      <c r="D33" t="s">
        <v>84</v>
      </c>
      <c r="E33" t="s">
        <v>117</v>
      </c>
      <c r="F33" t="s">
        <v>44</v>
      </c>
      <c r="G33" t="s">
        <v>19</v>
      </c>
      <c r="H33">
        <v>1</v>
      </c>
      <c r="I33">
        <v>2</v>
      </c>
      <c r="J33" t="s">
        <v>311</v>
      </c>
      <c r="K33">
        <v>2</v>
      </c>
      <c r="L33">
        <v>1.9</v>
      </c>
      <c r="M33">
        <v>46</v>
      </c>
      <c r="N33" s="2">
        <v>33134</v>
      </c>
    </row>
    <row r="34" spans="1:17" x14ac:dyDescent="0.25">
      <c r="A34" s="1">
        <v>43805</v>
      </c>
      <c r="B34" t="s">
        <v>158</v>
      </c>
      <c r="C34" t="s">
        <v>307</v>
      </c>
      <c r="D34" t="s">
        <v>86</v>
      </c>
      <c r="E34" t="s">
        <v>60</v>
      </c>
      <c r="F34" t="s">
        <v>43</v>
      </c>
      <c r="G34" t="s">
        <v>4</v>
      </c>
      <c r="H34">
        <v>2</v>
      </c>
      <c r="I34">
        <v>2</v>
      </c>
      <c r="J34" t="s">
        <v>343</v>
      </c>
      <c r="K34">
        <v>2.2000000000000002</v>
      </c>
      <c r="L34">
        <v>1.3</v>
      </c>
      <c r="M34">
        <v>63</v>
      </c>
      <c r="N34" s="2">
        <v>50000</v>
      </c>
    </row>
    <row r="35" spans="1:17" x14ac:dyDescent="0.25">
      <c r="A35" s="1">
        <v>43811</v>
      </c>
      <c r="B35" t="s">
        <v>201</v>
      </c>
      <c r="C35" t="s">
        <v>193</v>
      </c>
      <c r="D35" t="s">
        <v>119</v>
      </c>
      <c r="E35" t="s">
        <v>85</v>
      </c>
      <c r="F35" t="s">
        <v>43</v>
      </c>
      <c r="G35" t="s">
        <v>19</v>
      </c>
      <c r="H35">
        <v>2</v>
      </c>
      <c r="I35">
        <v>3</v>
      </c>
      <c r="J35" t="s">
        <v>379</v>
      </c>
      <c r="K35">
        <v>2</v>
      </c>
      <c r="L35">
        <v>0.4</v>
      </c>
      <c r="M35">
        <v>55</v>
      </c>
      <c r="N35" s="2">
        <v>47000</v>
      </c>
    </row>
    <row r="36" spans="1:17" x14ac:dyDescent="0.25">
      <c r="A36" s="1">
        <v>43814</v>
      </c>
      <c r="B36" t="s">
        <v>209</v>
      </c>
      <c r="C36" t="s">
        <v>307</v>
      </c>
      <c r="D36" t="s">
        <v>87</v>
      </c>
      <c r="E36" t="s">
        <v>62</v>
      </c>
      <c r="F36" t="s">
        <v>44</v>
      </c>
      <c r="G36" t="s">
        <v>19</v>
      </c>
      <c r="H36">
        <v>0</v>
      </c>
      <c r="I36">
        <v>1</v>
      </c>
      <c r="J36" t="s">
        <v>348</v>
      </c>
      <c r="K36">
        <v>0.9</v>
      </c>
      <c r="L36">
        <v>1</v>
      </c>
      <c r="M36">
        <v>51</v>
      </c>
      <c r="N36" s="2">
        <v>60811</v>
      </c>
    </row>
    <row r="37" spans="1:17" x14ac:dyDescent="0.25">
      <c r="A37" s="1">
        <v>43817</v>
      </c>
      <c r="B37" t="s">
        <v>158</v>
      </c>
      <c r="C37" t="s">
        <v>307</v>
      </c>
      <c r="D37" t="s">
        <v>88</v>
      </c>
      <c r="E37" t="s">
        <v>92</v>
      </c>
      <c r="F37" t="s">
        <v>43</v>
      </c>
      <c r="G37" t="s">
        <v>19</v>
      </c>
      <c r="H37">
        <v>2</v>
      </c>
      <c r="I37">
        <v>4</v>
      </c>
      <c r="J37" t="s">
        <v>312</v>
      </c>
      <c r="K37">
        <v>1.4</v>
      </c>
      <c r="L37">
        <v>1.9</v>
      </c>
      <c r="M37">
        <v>45</v>
      </c>
      <c r="N37" s="2">
        <v>50300</v>
      </c>
    </row>
    <row r="38" spans="1:17" x14ac:dyDescent="0.25">
      <c r="A38" t="s">
        <v>0</v>
      </c>
      <c r="B38" t="s">
        <v>1</v>
      </c>
      <c r="C38" t="s">
        <v>16</v>
      </c>
      <c r="D38" t="s">
        <v>51</v>
      </c>
      <c r="E38" t="s">
        <v>52</v>
      </c>
      <c r="F38" t="s">
        <v>53</v>
      </c>
      <c r="G38" t="s">
        <v>54</v>
      </c>
      <c r="H38" t="s">
        <v>20</v>
      </c>
      <c r="I38" t="s">
        <v>21</v>
      </c>
      <c r="J38" t="s">
        <v>45</v>
      </c>
      <c r="K38" t="s">
        <v>55</v>
      </c>
      <c r="L38" t="s">
        <v>56</v>
      </c>
      <c r="M38" t="s">
        <v>57</v>
      </c>
      <c r="N38" t="s">
        <v>24</v>
      </c>
    </row>
    <row r="39" spans="1:17" x14ac:dyDescent="0.25">
      <c r="A39" s="1">
        <v>43821</v>
      </c>
      <c r="B39" t="s">
        <v>209</v>
      </c>
      <c r="C39" t="s">
        <v>307</v>
      </c>
      <c r="D39" t="s">
        <v>90</v>
      </c>
      <c r="E39" t="s">
        <v>62</v>
      </c>
      <c r="F39" t="s">
        <v>44</v>
      </c>
      <c r="G39" t="s">
        <v>19</v>
      </c>
      <c r="H39">
        <v>1</v>
      </c>
      <c r="I39">
        <v>2</v>
      </c>
      <c r="J39" t="s">
        <v>382</v>
      </c>
      <c r="K39">
        <v>1.9</v>
      </c>
      <c r="L39">
        <v>1.9</v>
      </c>
      <c r="M39">
        <v>48</v>
      </c>
      <c r="N39" s="2">
        <v>15000</v>
      </c>
      <c r="Q39" s="1"/>
    </row>
    <row r="40" spans="1:17" x14ac:dyDescent="0.25">
      <c r="A40" s="1">
        <v>43848</v>
      </c>
      <c r="B40" t="s">
        <v>303</v>
      </c>
      <c r="C40" t="s">
        <v>307</v>
      </c>
      <c r="D40" t="s">
        <v>93</v>
      </c>
      <c r="E40" t="s">
        <v>64</v>
      </c>
      <c r="F40" t="s">
        <v>44</v>
      </c>
      <c r="G40" t="s">
        <v>18</v>
      </c>
      <c r="H40">
        <v>2</v>
      </c>
      <c r="I40">
        <v>1</v>
      </c>
      <c r="J40" t="s">
        <v>319</v>
      </c>
      <c r="K40">
        <v>2</v>
      </c>
      <c r="L40">
        <v>1</v>
      </c>
      <c r="M40">
        <v>36</v>
      </c>
      <c r="N40" s="2">
        <v>29610</v>
      </c>
      <c r="Q40" s="1"/>
    </row>
    <row r="41" spans="1:17" x14ac:dyDescent="0.25">
      <c r="A41" s="1">
        <v>43855</v>
      </c>
      <c r="B41" t="s">
        <v>303</v>
      </c>
      <c r="C41" t="s">
        <v>307</v>
      </c>
      <c r="D41" t="s">
        <v>94</v>
      </c>
      <c r="E41" t="s">
        <v>64</v>
      </c>
      <c r="F41" t="s">
        <v>43</v>
      </c>
      <c r="G41" t="s">
        <v>18</v>
      </c>
      <c r="H41">
        <v>2</v>
      </c>
      <c r="I41">
        <v>0</v>
      </c>
      <c r="J41" t="s">
        <v>333</v>
      </c>
      <c r="K41">
        <v>1.2</v>
      </c>
      <c r="L41">
        <v>1.6</v>
      </c>
      <c r="M41">
        <v>33</v>
      </c>
      <c r="N41" s="2">
        <v>50300</v>
      </c>
      <c r="Q41" s="1"/>
    </row>
    <row r="42" spans="1:17" x14ac:dyDescent="0.25">
      <c r="A42" s="1">
        <v>43862</v>
      </c>
      <c r="B42" t="s">
        <v>303</v>
      </c>
      <c r="C42" t="s">
        <v>307</v>
      </c>
      <c r="D42" t="s">
        <v>97</v>
      </c>
      <c r="E42" t="s">
        <v>64</v>
      </c>
      <c r="F42" t="s">
        <v>44</v>
      </c>
      <c r="G42" t="s">
        <v>4</v>
      </c>
      <c r="H42">
        <v>1</v>
      </c>
      <c r="I42">
        <v>1</v>
      </c>
      <c r="J42" t="s">
        <v>378</v>
      </c>
      <c r="K42">
        <v>1.1000000000000001</v>
      </c>
      <c r="L42">
        <v>0.4</v>
      </c>
      <c r="M42">
        <v>47</v>
      </c>
      <c r="N42" s="2">
        <v>45018</v>
      </c>
      <c r="Q42" s="1"/>
    </row>
    <row r="43" spans="1:17" x14ac:dyDescent="0.25">
      <c r="A43" s="1">
        <v>43865</v>
      </c>
      <c r="B43" t="s">
        <v>157</v>
      </c>
      <c r="C43" t="s">
        <v>304</v>
      </c>
      <c r="D43" t="s">
        <v>91</v>
      </c>
      <c r="E43" t="s">
        <v>69</v>
      </c>
      <c r="F43" t="s">
        <v>43</v>
      </c>
      <c r="G43" t="s">
        <v>18</v>
      </c>
      <c r="H43">
        <v>3</v>
      </c>
      <c r="I43">
        <v>1</v>
      </c>
      <c r="J43" t="s">
        <v>333</v>
      </c>
      <c r="M43">
        <v>43</v>
      </c>
      <c r="N43" s="2">
        <v>47400</v>
      </c>
      <c r="P43" s="1"/>
      <c r="Q43" s="1"/>
    </row>
    <row r="44" spans="1:17" x14ac:dyDescent="0.25">
      <c r="A44" s="1">
        <v>43868</v>
      </c>
      <c r="B44" t="s">
        <v>158</v>
      </c>
      <c r="C44" t="s">
        <v>307</v>
      </c>
      <c r="D44" t="s">
        <v>98</v>
      </c>
      <c r="E44" t="s">
        <v>60</v>
      </c>
      <c r="F44" t="s">
        <v>43</v>
      </c>
      <c r="G44" t="s">
        <v>18</v>
      </c>
      <c r="H44">
        <v>5</v>
      </c>
      <c r="I44">
        <v>0</v>
      </c>
      <c r="J44" t="s">
        <v>327</v>
      </c>
      <c r="K44">
        <v>1.9</v>
      </c>
      <c r="L44">
        <v>0.7</v>
      </c>
      <c r="M44">
        <v>59</v>
      </c>
      <c r="N44" s="2">
        <v>48800</v>
      </c>
    </row>
    <row r="45" spans="1:17" x14ac:dyDescent="0.25">
      <c r="A45" s="1">
        <v>43875</v>
      </c>
      <c r="B45" t="s">
        <v>158</v>
      </c>
      <c r="C45" t="s">
        <v>307</v>
      </c>
      <c r="D45" t="s">
        <v>100</v>
      </c>
      <c r="E45" t="s">
        <v>60</v>
      </c>
      <c r="F45" t="s">
        <v>44</v>
      </c>
      <c r="G45" t="s">
        <v>19</v>
      </c>
      <c r="H45">
        <v>0</v>
      </c>
      <c r="I45">
        <v>4</v>
      </c>
      <c r="J45" t="s">
        <v>321</v>
      </c>
      <c r="K45">
        <v>0</v>
      </c>
      <c r="L45">
        <v>1.7</v>
      </c>
      <c r="M45">
        <v>37</v>
      </c>
      <c r="N45" s="2">
        <v>81365</v>
      </c>
      <c r="Q45" s="1"/>
    </row>
    <row r="46" spans="1:17" x14ac:dyDescent="0.25">
      <c r="A46" s="1">
        <v>43881</v>
      </c>
      <c r="B46" t="s">
        <v>201</v>
      </c>
      <c r="C46" t="s">
        <v>193</v>
      </c>
      <c r="D46" t="s">
        <v>77</v>
      </c>
      <c r="E46" t="s">
        <v>85</v>
      </c>
      <c r="F46" t="s">
        <v>43</v>
      </c>
      <c r="G46" t="s">
        <v>18</v>
      </c>
      <c r="H46">
        <v>4</v>
      </c>
      <c r="I46">
        <v>1</v>
      </c>
      <c r="J46" t="s">
        <v>252</v>
      </c>
      <c r="K46">
        <v>3</v>
      </c>
      <c r="L46">
        <v>1.4</v>
      </c>
      <c r="M46">
        <v>49</v>
      </c>
      <c r="N46" s="2">
        <v>47000</v>
      </c>
    </row>
    <row r="47" spans="1:17" x14ac:dyDescent="0.25">
      <c r="A47" s="1">
        <v>43885</v>
      </c>
      <c r="B47" t="s">
        <v>158</v>
      </c>
      <c r="C47" t="s">
        <v>307</v>
      </c>
      <c r="D47" t="s">
        <v>101</v>
      </c>
      <c r="E47" t="s">
        <v>117</v>
      </c>
      <c r="F47" t="s">
        <v>43</v>
      </c>
      <c r="G47" t="s">
        <v>19</v>
      </c>
      <c r="H47">
        <v>1</v>
      </c>
      <c r="I47">
        <v>2</v>
      </c>
      <c r="J47" t="s">
        <v>323</v>
      </c>
      <c r="K47">
        <v>2.6</v>
      </c>
      <c r="L47">
        <v>1.1000000000000001</v>
      </c>
      <c r="M47">
        <v>63</v>
      </c>
      <c r="N47" s="2">
        <v>47000</v>
      </c>
      <c r="Q47" s="1"/>
    </row>
    <row r="48" spans="1:17" x14ac:dyDescent="0.25">
      <c r="A48" s="1">
        <v>43889</v>
      </c>
      <c r="B48" t="s">
        <v>209</v>
      </c>
      <c r="C48" t="s">
        <v>193</v>
      </c>
      <c r="D48" t="s">
        <v>77</v>
      </c>
      <c r="E48" t="s">
        <v>60</v>
      </c>
      <c r="F48" t="s">
        <v>44</v>
      </c>
      <c r="G48" t="s">
        <v>4</v>
      </c>
      <c r="H48">
        <v>2</v>
      </c>
      <c r="I48">
        <v>2</v>
      </c>
      <c r="J48" t="s">
        <v>252</v>
      </c>
      <c r="K48">
        <v>1.7</v>
      </c>
      <c r="L48">
        <v>1.4</v>
      </c>
      <c r="M48">
        <v>38</v>
      </c>
      <c r="N48" s="2">
        <v>29000</v>
      </c>
    </row>
    <row r="49" spans="1:17" x14ac:dyDescent="0.25">
      <c r="A49" s="1">
        <v>43894</v>
      </c>
      <c r="B49" t="s">
        <v>156</v>
      </c>
      <c r="C49" t="s">
        <v>304</v>
      </c>
      <c r="D49" t="s">
        <v>96</v>
      </c>
      <c r="E49" t="s">
        <v>92</v>
      </c>
      <c r="F49" t="s">
        <v>43</v>
      </c>
      <c r="G49" t="s">
        <v>18</v>
      </c>
      <c r="H49">
        <v>2</v>
      </c>
      <c r="I49">
        <v>0</v>
      </c>
      <c r="J49" t="s">
        <v>325</v>
      </c>
      <c r="M49">
        <v>49</v>
      </c>
      <c r="N49" s="2">
        <v>51500</v>
      </c>
      <c r="Q49" s="1"/>
    </row>
    <row r="50" spans="1:17" x14ac:dyDescent="0.25">
      <c r="A50" s="1">
        <v>43897</v>
      </c>
      <c r="B50" t="s">
        <v>303</v>
      </c>
      <c r="C50" t="s">
        <v>307</v>
      </c>
      <c r="D50" t="s">
        <v>103</v>
      </c>
      <c r="E50" t="s">
        <v>64</v>
      </c>
      <c r="F50" t="s">
        <v>44</v>
      </c>
      <c r="G50" t="s">
        <v>19</v>
      </c>
      <c r="H50">
        <v>0</v>
      </c>
      <c r="I50">
        <v>4</v>
      </c>
      <c r="J50" t="s">
        <v>331</v>
      </c>
      <c r="K50">
        <v>0.8</v>
      </c>
      <c r="L50">
        <v>2.4</v>
      </c>
      <c r="M50">
        <v>39</v>
      </c>
      <c r="N50" s="2">
        <v>30210</v>
      </c>
    </row>
    <row r="51" spans="1:17" x14ac:dyDescent="0.25">
      <c r="A51" s="1">
        <v>43902</v>
      </c>
      <c r="B51" t="s">
        <v>383</v>
      </c>
      <c r="C51" t="s">
        <v>193</v>
      </c>
      <c r="D51" t="s">
        <v>91</v>
      </c>
      <c r="E51" t="s">
        <v>85</v>
      </c>
      <c r="F51" t="s">
        <v>43</v>
      </c>
      <c r="G51" t="s">
        <v>19</v>
      </c>
      <c r="H51">
        <v>0</v>
      </c>
      <c r="I51">
        <v>3</v>
      </c>
      <c r="J51" t="s">
        <v>384</v>
      </c>
      <c r="K51">
        <v>0.8</v>
      </c>
      <c r="L51">
        <v>1.5</v>
      </c>
      <c r="M51">
        <v>63</v>
      </c>
    </row>
    <row r="52" spans="1:17" x14ac:dyDescent="0.25">
      <c r="A52" s="1">
        <v>43967</v>
      </c>
      <c r="B52" t="s">
        <v>157</v>
      </c>
      <c r="C52" t="s">
        <v>307</v>
      </c>
      <c r="D52" t="s">
        <v>104</v>
      </c>
      <c r="E52" t="s">
        <v>64</v>
      </c>
      <c r="F52" t="s">
        <v>43</v>
      </c>
      <c r="G52" t="s">
        <v>19</v>
      </c>
      <c r="H52">
        <v>1</v>
      </c>
      <c r="I52">
        <v>3</v>
      </c>
      <c r="J52" t="s">
        <v>332</v>
      </c>
      <c r="K52">
        <v>1.2</v>
      </c>
      <c r="L52">
        <v>2.6</v>
      </c>
      <c r="M52">
        <v>52</v>
      </c>
      <c r="P52" s="1"/>
    </row>
    <row r="53" spans="1:17" x14ac:dyDescent="0.25">
      <c r="A53" s="1">
        <v>43974</v>
      </c>
      <c r="B53" t="s">
        <v>157</v>
      </c>
      <c r="C53" t="s">
        <v>307</v>
      </c>
      <c r="D53" t="s">
        <v>105</v>
      </c>
      <c r="E53" t="s">
        <v>64</v>
      </c>
      <c r="F53" t="s">
        <v>44</v>
      </c>
      <c r="G53" t="s">
        <v>19</v>
      </c>
      <c r="H53">
        <v>2</v>
      </c>
      <c r="I53">
        <v>5</v>
      </c>
      <c r="J53" t="s">
        <v>329</v>
      </c>
      <c r="K53">
        <v>1.2</v>
      </c>
      <c r="L53">
        <v>3</v>
      </c>
      <c r="M53">
        <v>35</v>
      </c>
    </row>
    <row r="54" spans="1:17" x14ac:dyDescent="0.25">
      <c r="A54" s="1">
        <v>43977</v>
      </c>
      <c r="B54" t="s">
        <v>158</v>
      </c>
      <c r="C54" t="s">
        <v>307</v>
      </c>
      <c r="D54" t="s">
        <v>106</v>
      </c>
      <c r="E54" t="s">
        <v>69</v>
      </c>
      <c r="F54" t="s">
        <v>43</v>
      </c>
      <c r="G54" t="s">
        <v>4</v>
      </c>
      <c r="H54">
        <v>3</v>
      </c>
      <c r="I54">
        <v>3</v>
      </c>
      <c r="J54" t="s">
        <v>315</v>
      </c>
      <c r="K54">
        <v>4.5999999999999996</v>
      </c>
      <c r="L54">
        <v>0.9</v>
      </c>
      <c r="M54">
        <v>63</v>
      </c>
      <c r="P54" s="1"/>
      <c r="Q54" s="1"/>
    </row>
    <row r="55" spans="1:17" x14ac:dyDescent="0.25">
      <c r="A55" s="1">
        <v>43981</v>
      </c>
      <c r="B55" t="s">
        <v>303</v>
      </c>
      <c r="C55" t="s">
        <v>307</v>
      </c>
      <c r="D55" t="s">
        <v>107</v>
      </c>
      <c r="E55" t="s">
        <v>64</v>
      </c>
      <c r="F55" t="s">
        <v>44</v>
      </c>
      <c r="G55" t="s">
        <v>18</v>
      </c>
      <c r="H55">
        <v>2</v>
      </c>
      <c r="I55">
        <v>1</v>
      </c>
      <c r="J55" t="s">
        <v>316</v>
      </c>
      <c r="K55">
        <v>1.9</v>
      </c>
      <c r="L55">
        <v>2</v>
      </c>
      <c r="M55">
        <v>47</v>
      </c>
    </row>
    <row r="56" spans="1:17" x14ac:dyDescent="0.25">
      <c r="A56" s="1">
        <v>43985</v>
      </c>
      <c r="B56" t="s">
        <v>158</v>
      </c>
      <c r="C56" t="s">
        <v>307</v>
      </c>
      <c r="D56" t="s">
        <v>102</v>
      </c>
      <c r="E56" t="s">
        <v>92</v>
      </c>
      <c r="F56" t="s">
        <v>44</v>
      </c>
      <c r="G56" t="s">
        <v>18</v>
      </c>
      <c r="H56">
        <v>3</v>
      </c>
      <c r="I56">
        <v>0</v>
      </c>
      <c r="J56" t="s">
        <v>325</v>
      </c>
      <c r="K56">
        <v>1.6</v>
      </c>
      <c r="L56">
        <v>0.7</v>
      </c>
      <c r="M56">
        <v>49</v>
      </c>
      <c r="P56" s="1"/>
      <c r="Q56" s="1"/>
    </row>
    <row r="57" spans="1:17" x14ac:dyDescent="0.25">
      <c r="A57" s="1">
        <v>43988</v>
      </c>
      <c r="B57" t="s">
        <v>303</v>
      </c>
      <c r="C57" t="s">
        <v>307</v>
      </c>
      <c r="D57" t="s">
        <v>108</v>
      </c>
      <c r="E57" t="s">
        <v>64</v>
      </c>
      <c r="F57" t="s">
        <v>43</v>
      </c>
      <c r="G57" t="s">
        <v>19</v>
      </c>
      <c r="H57">
        <v>0</v>
      </c>
      <c r="I57">
        <v>2</v>
      </c>
      <c r="J57" t="s">
        <v>311</v>
      </c>
      <c r="K57">
        <v>0.5</v>
      </c>
      <c r="L57">
        <v>3</v>
      </c>
      <c r="M57">
        <v>66</v>
      </c>
    </row>
    <row r="58" spans="1:17" x14ac:dyDescent="0.25">
      <c r="A58" s="1">
        <v>43992</v>
      </c>
      <c r="B58" t="s">
        <v>156</v>
      </c>
      <c r="C58" t="s">
        <v>304</v>
      </c>
      <c r="D58" t="s">
        <v>99</v>
      </c>
      <c r="E58" t="s">
        <v>92</v>
      </c>
      <c r="F58" t="s">
        <v>44</v>
      </c>
      <c r="G58" t="s">
        <v>19</v>
      </c>
      <c r="H58">
        <v>1</v>
      </c>
      <c r="I58">
        <v>2</v>
      </c>
      <c r="J58" t="s">
        <v>329</v>
      </c>
      <c r="M58">
        <v>42</v>
      </c>
      <c r="P58" s="1"/>
    </row>
    <row r="59" spans="1:17" x14ac:dyDescent="0.25">
      <c r="A59" s="1">
        <v>43995</v>
      </c>
      <c r="B59" t="s">
        <v>303</v>
      </c>
      <c r="C59" t="s">
        <v>307</v>
      </c>
      <c r="D59" t="s">
        <v>109</v>
      </c>
      <c r="E59" t="s">
        <v>64</v>
      </c>
      <c r="F59" t="s">
        <v>44</v>
      </c>
      <c r="G59" t="s">
        <v>18</v>
      </c>
      <c r="H59">
        <v>4</v>
      </c>
      <c r="I59">
        <v>1</v>
      </c>
      <c r="J59" t="s">
        <v>343</v>
      </c>
      <c r="K59">
        <v>3</v>
      </c>
      <c r="L59">
        <v>0.8</v>
      </c>
      <c r="M59">
        <v>60</v>
      </c>
      <c r="P59" s="1"/>
    </row>
    <row r="60" spans="1:17" x14ac:dyDescent="0.25">
      <c r="A60" s="1">
        <v>43999</v>
      </c>
      <c r="B60" t="s">
        <v>157</v>
      </c>
      <c r="C60" t="s">
        <v>307</v>
      </c>
      <c r="D60" t="s">
        <v>110</v>
      </c>
      <c r="E60" t="s">
        <v>92</v>
      </c>
      <c r="F60" t="s">
        <v>43</v>
      </c>
      <c r="G60" t="s">
        <v>18</v>
      </c>
      <c r="H60">
        <v>2</v>
      </c>
      <c r="I60">
        <v>1</v>
      </c>
      <c r="J60" t="s">
        <v>348</v>
      </c>
      <c r="K60">
        <v>2.5</v>
      </c>
      <c r="L60">
        <v>1.4</v>
      </c>
      <c r="M60">
        <v>63</v>
      </c>
      <c r="P60" s="1"/>
      <c r="Q60" s="1"/>
    </row>
    <row r="61" spans="1:17" x14ac:dyDescent="0.25">
      <c r="A61" s="1">
        <v>44002</v>
      </c>
      <c r="B61" t="s">
        <v>303</v>
      </c>
      <c r="C61" t="s">
        <v>307</v>
      </c>
      <c r="D61" t="s">
        <v>111</v>
      </c>
      <c r="E61" t="s">
        <v>64</v>
      </c>
      <c r="F61" t="s">
        <v>44</v>
      </c>
      <c r="G61" t="s">
        <v>4</v>
      </c>
      <c r="H61">
        <v>1</v>
      </c>
      <c r="I61">
        <v>1</v>
      </c>
      <c r="J61" t="s">
        <v>312</v>
      </c>
      <c r="K61">
        <v>1.4</v>
      </c>
      <c r="L61">
        <v>1</v>
      </c>
      <c r="M61">
        <v>62</v>
      </c>
      <c r="P61" s="1"/>
    </row>
    <row r="62" spans="1:17" x14ac:dyDescent="0.25">
      <c r="A62" s="1">
        <v>44009</v>
      </c>
      <c r="B62" t="s">
        <v>303</v>
      </c>
      <c r="C62" t="s">
        <v>307</v>
      </c>
      <c r="D62" t="s">
        <v>112</v>
      </c>
      <c r="E62" t="s">
        <v>64</v>
      </c>
      <c r="F62" t="s">
        <v>43</v>
      </c>
      <c r="G62" t="s">
        <v>18</v>
      </c>
      <c r="H62">
        <v>3</v>
      </c>
      <c r="I62">
        <v>2</v>
      </c>
      <c r="J62" t="s">
        <v>382</v>
      </c>
      <c r="K62">
        <v>2.2000000000000002</v>
      </c>
      <c r="L62">
        <v>1.3</v>
      </c>
      <c r="M62">
        <v>61</v>
      </c>
    </row>
    <row r="63" spans="1:17" x14ac:dyDescent="0.25">
      <c r="A63" s="1">
        <v>44049</v>
      </c>
      <c r="B63" t="s">
        <v>181</v>
      </c>
      <c r="C63" t="s">
        <v>193</v>
      </c>
      <c r="D63" t="s">
        <v>91</v>
      </c>
      <c r="E63" t="s">
        <v>85</v>
      </c>
      <c r="F63" t="s">
        <v>44</v>
      </c>
      <c r="G63" t="s">
        <v>19</v>
      </c>
      <c r="H63">
        <v>0</v>
      </c>
      <c r="I63">
        <v>1</v>
      </c>
      <c r="J63" t="s">
        <v>384</v>
      </c>
      <c r="K63">
        <v>1</v>
      </c>
      <c r="L63">
        <v>2.7</v>
      </c>
      <c r="M63">
        <v>66</v>
      </c>
    </row>
    <row r="65" spans="1:1" x14ac:dyDescent="0.25">
      <c r="A65" t="s">
        <v>385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D9ED-1058-4391-82DB-1D53DD851CF1}">
  <dimension ref="A1:Q46"/>
  <sheetViews>
    <sheetView workbookViewId="0">
      <selection activeCell="O1" sqref="O1:T1048576"/>
    </sheetView>
  </sheetViews>
  <sheetFormatPr defaultRowHeight="15" x14ac:dyDescent="0.25"/>
  <cols>
    <col min="1" max="1" width="10.7109375" customWidth="1"/>
  </cols>
  <sheetData>
    <row r="1" spans="1:17" x14ac:dyDescent="0.25">
      <c r="A1" t="s">
        <v>365</v>
      </c>
    </row>
    <row r="2" spans="1:17" x14ac:dyDescent="0.25">
      <c r="A2" t="s">
        <v>366</v>
      </c>
    </row>
    <row r="3" spans="1:17" x14ac:dyDescent="0.25">
      <c r="A3" t="s">
        <v>367</v>
      </c>
    </row>
    <row r="4" spans="1:17" x14ac:dyDescent="0.25">
      <c r="A4" t="s">
        <v>368</v>
      </c>
    </row>
    <row r="7" spans="1:17" x14ac:dyDescent="0.25">
      <c r="A7" t="s">
        <v>0</v>
      </c>
      <c r="B7" t="s">
        <v>1</v>
      </c>
      <c r="C7" t="s">
        <v>16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 t="s">
        <v>45</v>
      </c>
      <c r="K7" t="s">
        <v>55</v>
      </c>
      <c r="L7" t="s">
        <v>56</v>
      </c>
      <c r="M7" t="s">
        <v>57</v>
      </c>
      <c r="N7" t="s">
        <v>24</v>
      </c>
    </row>
    <row r="8" spans="1:17" x14ac:dyDescent="0.25">
      <c r="A8" s="1">
        <v>44086</v>
      </c>
      <c r="B8" t="s">
        <v>303</v>
      </c>
      <c r="C8" t="s">
        <v>304</v>
      </c>
      <c r="D8" t="s">
        <v>124</v>
      </c>
      <c r="E8" t="s">
        <v>64</v>
      </c>
      <c r="F8" t="s">
        <v>44</v>
      </c>
      <c r="G8" t="s">
        <v>18</v>
      </c>
      <c r="H8">
        <v>2</v>
      </c>
      <c r="I8">
        <v>1</v>
      </c>
      <c r="J8" t="s">
        <v>369</v>
      </c>
      <c r="M8">
        <v>71</v>
      </c>
    </row>
    <row r="9" spans="1:17" x14ac:dyDescent="0.25">
      <c r="A9" s="1">
        <v>44093</v>
      </c>
      <c r="B9" t="s">
        <v>303</v>
      </c>
      <c r="C9" t="s">
        <v>307</v>
      </c>
      <c r="D9" t="s">
        <v>59</v>
      </c>
      <c r="E9" t="s">
        <v>64</v>
      </c>
      <c r="F9" t="s">
        <v>43</v>
      </c>
      <c r="G9" t="s">
        <v>4</v>
      </c>
      <c r="H9">
        <v>1</v>
      </c>
      <c r="I9">
        <v>1</v>
      </c>
      <c r="J9" t="s">
        <v>355</v>
      </c>
      <c r="K9">
        <v>2.2999999999999998</v>
      </c>
      <c r="L9">
        <v>0.8</v>
      </c>
      <c r="M9">
        <v>62</v>
      </c>
      <c r="N9" s="2">
        <v>6500</v>
      </c>
    </row>
    <row r="10" spans="1:17" x14ac:dyDescent="0.25">
      <c r="A10" s="1">
        <v>44099</v>
      </c>
      <c r="B10" t="s">
        <v>158</v>
      </c>
      <c r="C10" t="s">
        <v>307</v>
      </c>
      <c r="D10" t="s">
        <v>61</v>
      </c>
      <c r="E10" t="s">
        <v>60</v>
      </c>
      <c r="F10" t="s">
        <v>44</v>
      </c>
      <c r="G10" t="s">
        <v>18</v>
      </c>
      <c r="H10">
        <v>3</v>
      </c>
      <c r="I10">
        <v>1</v>
      </c>
      <c r="J10" t="s">
        <v>343</v>
      </c>
      <c r="K10">
        <v>1.5</v>
      </c>
      <c r="L10">
        <v>1.2</v>
      </c>
      <c r="M10">
        <v>44</v>
      </c>
      <c r="N10" s="2">
        <v>4000</v>
      </c>
    </row>
    <row r="11" spans="1:17" x14ac:dyDescent="0.25">
      <c r="A11" s="1">
        <v>44107</v>
      </c>
      <c r="B11" t="s">
        <v>303</v>
      </c>
      <c r="C11" t="s">
        <v>307</v>
      </c>
      <c r="D11" t="s">
        <v>63</v>
      </c>
      <c r="E11" t="s">
        <v>64</v>
      </c>
      <c r="F11" t="s">
        <v>43</v>
      </c>
      <c r="G11" t="s">
        <v>18</v>
      </c>
      <c r="H11">
        <v>2</v>
      </c>
      <c r="I11">
        <v>1</v>
      </c>
      <c r="J11" t="s">
        <v>319</v>
      </c>
      <c r="K11">
        <v>2.9</v>
      </c>
      <c r="L11">
        <v>1.4</v>
      </c>
      <c r="M11">
        <v>52</v>
      </c>
      <c r="N11" s="2">
        <v>8000</v>
      </c>
    </row>
    <row r="12" spans="1:17" x14ac:dyDescent="0.25">
      <c r="A12" s="1">
        <v>44122</v>
      </c>
      <c r="B12" t="s">
        <v>303</v>
      </c>
      <c r="C12" t="s">
        <v>307</v>
      </c>
      <c r="D12" t="s">
        <v>66</v>
      </c>
      <c r="E12" t="s">
        <v>62</v>
      </c>
      <c r="F12" t="s">
        <v>44</v>
      </c>
      <c r="G12" t="s">
        <v>4</v>
      </c>
      <c r="H12">
        <v>1</v>
      </c>
      <c r="I12">
        <v>1</v>
      </c>
      <c r="J12" t="s">
        <v>312</v>
      </c>
      <c r="K12">
        <v>1.9</v>
      </c>
      <c r="L12">
        <v>1.4</v>
      </c>
      <c r="M12">
        <v>60</v>
      </c>
      <c r="N12">
        <v>300</v>
      </c>
    </row>
    <row r="13" spans="1:17" x14ac:dyDescent="0.25">
      <c r="A13" s="1">
        <v>44128</v>
      </c>
      <c r="B13" t="s">
        <v>303</v>
      </c>
      <c r="C13" t="s">
        <v>307</v>
      </c>
      <c r="D13" t="s">
        <v>68</v>
      </c>
      <c r="E13" t="s">
        <v>64</v>
      </c>
      <c r="F13" t="s">
        <v>44</v>
      </c>
      <c r="G13" t="s">
        <v>19</v>
      </c>
      <c r="H13">
        <v>0</v>
      </c>
      <c r="I13">
        <v>5</v>
      </c>
      <c r="J13" t="s">
        <v>329</v>
      </c>
      <c r="K13">
        <v>0.4</v>
      </c>
      <c r="L13">
        <v>3.1</v>
      </c>
      <c r="M13">
        <v>39</v>
      </c>
    </row>
    <row r="14" spans="1:17" x14ac:dyDescent="0.25">
      <c r="A14" s="1">
        <v>44135</v>
      </c>
      <c r="B14" t="s">
        <v>287</v>
      </c>
      <c r="C14" t="s">
        <v>307</v>
      </c>
      <c r="D14" t="s">
        <v>71</v>
      </c>
      <c r="E14" t="s">
        <v>64</v>
      </c>
      <c r="F14" t="s">
        <v>43</v>
      </c>
      <c r="G14" t="s">
        <v>4</v>
      </c>
      <c r="H14">
        <v>1</v>
      </c>
      <c r="I14">
        <v>1</v>
      </c>
      <c r="J14" t="s">
        <v>325</v>
      </c>
      <c r="K14">
        <v>2</v>
      </c>
      <c r="L14">
        <v>0.8</v>
      </c>
      <c r="M14">
        <v>71</v>
      </c>
      <c r="Q14" s="1"/>
    </row>
    <row r="15" spans="1:17" x14ac:dyDescent="0.25">
      <c r="A15" s="1">
        <v>44142</v>
      </c>
      <c r="B15" t="s">
        <v>303</v>
      </c>
      <c r="C15" t="s">
        <v>307</v>
      </c>
      <c r="D15" t="s">
        <v>72</v>
      </c>
      <c r="E15" t="s">
        <v>64</v>
      </c>
      <c r="F15" t="s">
        <v>44</v>
      </c>
      <c r="G15" t="s">
        <v>4</v>
      </c>
      <c r="H15">
        <v>2</v>
      </c>
      <c r="I15">
        <v>2</v>
      </c>
      <c r="J15" t="s">
        <v>326</v>
      </c>
      <c r="K15">
        <v>3.2</v>
      </c>
      <c r="L15">
        <v>2</v>
      </c>
      <c r="M15">
        <v>59</v>
      </c>
    </row>
    <row r="16" spans="1:17" x14ac:dyDescent="0.25">
      <c r="A16" s="1">
        <v>44156</v>
      </c>
      <c r="B16" t="s">
        <v>157</v>
      </c>
      <c r="C16" t="s">
        <v>307</v>
      </c>
      <c r="D16" t="s">
        <v>74</v>
      </c>
      <c r="E16" t="s">
        <v>64</v>
      </c>
      <c r="F16" t="s">
        <v>43</v>
      </c>
      <c r="G16" t="s">
        <v>4</v>
      </c>
      <c r="H16">
        <v>1</v>
      </c>
      <c r="I16">
        <v>1</v>
      </c>
      <c r="J16" t="s">
        <v>333</v>
      </c>
      <c r="K16">
        <v>1</v>
      </c>
      <c r="L16">
        <v>0.8</v>
      </c>
      <c r="M16">
        <v>38</v>
      </c>
      <c r="P16" s="1"/>
    </row>
    <row r="17" spans="1:17" x14ac:dyDescent="0.25">
      <c r="A17" s="1">
        <v>44163</v>
      </c>
      <c r="B17" t="s">
        <v>303</v>
      </c>
      <c r="C17" t="s">
        <v>307</v>
      </c>
      <c r="D17" t="s">
        <v>75</v>
      </c>
      <c r="E17" t="s">
        <v>64</v>
      </c>
      <c r="F17" t="s">
        <v>44</v>
      </c>
      <c r="G17" t="s">
        <v>4</v>
      </c>
      <c r="H17">
        <v>3</v>
      </c>
      <c r="I17">
        <v>3</v>
      </c>
      <c r="J17" t="s">
        <v>323</v>
      </c>
      <c r="K17">
        <v>1.4</v>
      </c>
      <c r="L17">
        <v>2.4</v>
      </c>
      <c r="M17">
        <v>56</v>
      </c>
    </row>
    <row r="18" spans="1:17" x14ac:dyDescent="0.25">
      <c r="A18" s="1">
        <v>44170</v>
      </c>
      <c r="B18" t="s">
        <v>303</v>
      </c>
      <c r="C18" t="s">
        <v>307</v>
      </c>
      <c r="D18" t="s">
        <v>79</v>
      </c>
      <c r="E18" t="s">
        <v>64</v>
      </c>
      <c r="F18" t="s">
        <v>43</v>
      </c>
      <c r="G18" t="s">
        <v>4</v>
      </c>
      <c r="H18">
        <v>1</v>
      </c>
      <c r="I18">
        <v>1</v>
      </c>
      <c r="J18" t="s">
        <v>321</v>
      </c>
      <c r="K18">
        <v>1</v>
      </c>
      <c r="L18">
        <v>1.1000000000000001</v>
      </c>
      <c r="M18">
        <v>43</v>
      </c>
      <c r="P18" s="1"/>
      <c r="Q18" s="1"/>
    </row>
    <row r="19" spans="1:17" x14ac:dyDescent="0.25">
      <c r="A19" s="1">
        <v>44176</v>
      </c>
      <c r="B19" t="s">
        <v>158</v>
      </c>
      <c r="C19" t="s">
        <v>307</v>
      </c>
      <c r="D19" t="s">
        <v>81</v>
      </c>
      <c r="E19" t="s">
        <v>60</v>
      </c>
      <c r="F19" t="s">
        <v>44</v>
      </c>
      <c r="G19" t="s">
        <v>19</v>
      </c>
      <c r="H19">
        <v>1</v>
      </c>
      <c r="I19">
        <v>2</v>
      </c>
      <c r="J19" t="s">
        <v>316</v>
      </c>
      <c r="K19">
        <v>1.5</v>
      </c>
      <c r="L19">
        <v>2.9</v>
      </c>
      <c r="M19">
        <v>46</v>
      </c>
    </row>
    <row r="20" spans="1:17" x14ac:dyDescent="0.25">
      <c r="A20" s="1">
        <v>44180</v>
      </c>
      <c r="B20" t="s">
        <v>157</v>
      </c>
      <c r="C20" t="s">
        <v>307</v>
      </c>
      <c r="D20" t="s">
        <v>83</v>
      </c>
      <c r="E20" t="s">
        <v>69</v>
      </c>
      <c r="F20" t="s">
        <v>43</v>
      </c>
      <c r="G20" t="s">
        <v>4</v>
      </c>
      <c r="H20">
        <v>3</v>
      </c>
      <c r="I20">
        <v>3</v>
      </c>
      <c r="J20" t="s">
        <v>332</v>
      </c>
      <c r="K20">
        <v>1.9</v>
      </c>
      <c r="L20">
        <v>1.4</v>
      </c>
      <c r="M20">
        <v>40</v>
      </c>
      <c r="P20" s="1"/>
    </row>
    <row r="21" spans="1:17" x14ac:dyDescent="0.25">
      <c r="A21" s="1">
        <v>44184</v>
      </c>
      <c r="B21" t="s">
        <v>303</v>
      </c>
      <c r="C21" t="s">
        <v>307</v>
      </c>
      <c r="D21" t="s">
        <v>84</v>
      </c>
      <c r="E21" t="s">
        <v>64</v>
      </c>
      <c r="F21" t="s">
        <v>44</v>
      </c>
      <c r="G21" t="s">
        <v>18</v>
      </c>
      <c r="H21">
        <v>2</v>
      </c>
      <c r="I21">
        <v>0</v>
      </c>
      <c r="J21" t="s">
        <v>327</v>
      </c>
      <c r="K21">
        <v>2.2000000000000002</v>
      </c>
      <c r="L21">
        <v>1.6</v>
      </c>
      <c r="M21">
        <v>54</v>
      </c>
      <c r="P21" s="1"/>
      <c r="Q21" s="1"/>
    </row>
    <row r="22" spans="1:17" x14ac:dyDescent="0.25">
      <c r="A22" s="1">
        <v>44198</v>
      </c>
      <c r="B22" t="s">
        <v>303</v>
      </c>
      <c r="C22" t="s">
        <v>307</v>
      </c>
      <c r="D22" t="s">
        <v>86</v>
      </c>
      <c r="E22" t="s">
        <v>64</v>
      </c>
      <c r="F22" t="s">
        <v>43</v>
      </c>
      <c r="G22" t="s">
        <v>18</v>
      </c>
      <c r="H22">
        <v>2</v>
      </c>
      <c r="I22">
        <v>1</v>
      </c>
      <c r="J22" t="s">
        <v>331</v>
      </c>
      <c r="K22">
        <v>1.5</v>
      </c>
      <c r="L22">
        <v>0.8</v>
      </c>
      <c r="M22">
        <v>35</v>
      </c>
      <c r="P22" s="1"/>
      <c r="Q22" s="1"/>
    </row>
    <row r="23" spans="1:17" x14ac:dyDescent="0.25">
      <c r="A23" s="1">
        <v>44205</v>
      </c>
      <c r="B23" t="s">
        <v>303</v>
      </c>
      <c r="C23" t="s">
        <v>307</v>
      </c>
      <c r="D23" t="s">
        <v>87</v>
      </c>
      <c r="E23" t="s">
        <v>64</v>
      </c>
      <c r="F23" t="s">
        <v>44</v>
      </c>
      <c r="G23" t="s">
        <v>18</v>
      </c>
      <c r="H23">
        <v>2</v>
      </c>
      <c r="I23">
        <v>0</v>
      </c>
      <c r="J23" t="s">
        <v>311</v>
      </c>
      <c r="K23">
        <v>2.2999999999999998</v>
      </c>
      <c r="L23">
        <v>0.8</v>
      </c>
      <c r="M23">
        <v>59</v>
      </c>
      <c r="P23" s="1"/>
    </row>
    <row r="24" spans="1:17" x14ac:dyDescent="0.25">
      <c r="A24" s="1">
        <v>44208</v>
      </c>
      <c r="B24" t="s">
        <v>156</v>
      </c>
      <c r="C24" t="s">
        <v>304</v>
      </c>
      <c r="D24" t="s">
        <v>126</v>
      </c>
      <c r="E24" t="s">
        <v>69</v>
      </c>
      <c r="F24" t="s">
        <v>44</v>
      </c>
      <c r="G24" t="s">
        <v>19</v>
      </c>
      <c r="H24">
        <v>1</v>
      </c>
      <c r="I24">
        <v>4</v>
      </c>
      <c r="J24" t="s">
        <v>331</v>
      </c>
      <c r="M24">
        <v>49</v>
      </c>
      <c r="P24" s="1"/>
      <c r="Q24" s="1"/>
    </row>
    <row r="25" spans="1:17" x14ac:dyDescent="0.25">
      <c r="A25" s="1">
        <v>44213</v>
      </c>
      <c r="B25" t="s">
        <v>209</v>
      </c>
      <c r="C25" t="s">
        <v>307</v>
      </c>
      <c r="D25" t="s">
        <v>88</v>
      </c>
      <c r="E25" t="s">
        <v>62</v>
      </c>
      <c r="F25" t="s">
        <v>43</v>
      </c>
      <c r="G25" t="s">
        <v>18</v>
      </c>
      <c r="H25">
        <v>3</v>
      </c>
      <c r="I25">
        <v>1</v>
      </c>
      <c r="J25" t="s">
        <v>348</v>
      </c>
      <c r="K25">
        <v>2.1</v>
      </c>
      <c r="L25">
        <v>0.2</v>
      </c>
      <c r="M25">
        <v>67</v>
      </c>
      <c r="P25" s="1"/>
      <c r="Q25" s="1"/>
    </row>
    <row r="26" spans="1:17" x14ac:dyDescent="0.25">
      <c r="A26" s="1">
        <v>44216</v>
      </c>
      <c r="B26" t="s">
        <v>158</v>
      </c>
      <c r="C26" t="s">
        <v>307</v>
      </c>
      <c r="D26" t="s">
        <v>90</v>
      </c>
      <c r="E26" t="s">
        <v>92</v>
      </c>
      <c r="F26" t="s">
        <v>44</v>
      </c>
      <c r="G26" t="s">
        <v>4</v>
      </c>
      <c r="H26">
        <v>2</v>
      </c>
      <c r="I26">
        <v>2</v>
      </c>
      <c r="J26" t="s">
        <v>315</v>
      </c>
      <c r="K26">
        <v>1.2</v>
      </c>
      <c r="L26">
        <v>0.8</v>
      </c>
      <c r="M26">
        <v>61</v>
      </c>
      <c r="P26" s="1"/>
      <c r="Q26" s="1"/>
    </row>
    <row r="27" spans="1:17" x14ac:dyDescent="0.25">
      <c r="A27" s="1">
        <v>44219</v>
      </c>
      <c r="B27" t="s">
        <v>303</v>
      </c>
      <c r="C27" t="s">
        <v>307</v>
      </c>
      <c r="D27" t="s">
        <v>93</v>
      </c>
      <c r="E27" t="s">
        <v>64</v>
      </c>
      <c r="F27" t="s">
        <v>44</v>
      </c>
      <c r="G27" t="s">
        <v>18</v>
      </c>
      <c r="H27">
        <v>5</v>
      </c>
      <c r="I27">
        <v>1</v>
      </c>
      <c r="J27" t="s">
        <v>355</v>
      </c>
      <c r="K27">
        <v>2.4</v>
      </c>
      <c r="L27">
        <v>0.5</v>
      </c>
      <c r="M27">
        <v>56</v>
      </c>
      <c r="P27" s="1"/>
    </row>
    <row r="28" spans="1:17" x14ac:dyDescent="0.25">
      <c r="A28" s="1">
        <v>44226</v>
      </c>
      <c r="B28" t="s">
        <v>303</v>
      </c>
      <c r="C28" t="s">
        <v>307</v>
      </c>
      <c r="D28" t="s">
        <v>94</v>
      </c>
      <c r="E28" t="s">
        <v>64</v>
      </c>
      <c r="F28" t="s">
        <v>43</v>
      </c>
      <c r="G28" t="s">
        <v>18</v>
      </c>
      <c r="H28">
        <v>3</v>
      </c>
      <c r="I28">
        <v>1</v>
      </c>
      <c r="J28" t="s">
        <v>343</v>
      </c>
      <c r="K28">
        <v>2.1</v>
      </c>
      <c r="L28">
        <v>0.5</v>
      </c>
      <c r="M28">
        <v>60</v>
      </c>
      <c r="P28" s="1"/>
    </row>
    <row r="29" spans="1:17" x14ac:dyDescent="0.25">
      <c r="A29" s="1">
        <v>44234</v>
      </c>
      <c r="B29" t="s">
        <v>303</v>
      </c>
      <c r="C29" t="s">
        <v>307</v>
      </c>
      <c r="D29" t="s">
        <v>97</v>
      </c>
      <c r="E29" t="s">
        <v>62</v>
      </c>
      <c r="F29" t="s">
        <v>44</v>
      </c>
      <c r="G29" t="s">
        <v>18</v>
      </c>
      <c r="H29">
        <v>3</v>
      </c>
      <c r="I29">
        <v>1</v>
      </c>
      <c r="J29" t="s">
        <v>319</v>
      </c>
      <c r="K29">
        <v>1.3</v>
      </c>
      <c r="L29">
        <v>0.9</v>
      </c>
      <c r="M29">
        <v>53</v>
      </c>
      <c r="P29" s="1"/>
      <c r="Q29" s="1"/>
    </row>
    <row r="30" spans="1:17" x14ac:dyDescent="0.25">
      <c r="A30" s="1">
        <v>44241</v>
      </c>
      <c r="B30" t="s">
        <v>303</v>
      </c>
      <c r="C30" t="s">
        <v>307</v>
      </c>
      <c r="D30" t="s">
        <v>98</v>
      </c>
      <c r="E30" t="s">
        <v>62</v>
      </c>
      <c r="F30" t="s">
        <v>43</v>
      </c>
      <c r="G30" t="s">
        <v>18</v>
      </c>
      <c r="H30">
        <v>2</v>
      </c>
      <c r="I30">
        <v>0</v>
      </c>
      <c r="J30" t="s">
        <v>312</v>
      </c>
      <c r="K30">
        <v>2.5</v>
      </c>
      <c r="L30">
        <v>0.3</v>
      </c>
      <c r="M30">
        <v>60</v>
      </c>
      <c r="P30" s="1"/>
    </row>
    <row r="31" spans="1:17" x14ac:dyDescent="0.25">
      <c r="A31" s="1">
        <v>44247</v>
      </c>
      <c r="B31" t="s">
        <v>303</v>
      </c>
      <c r="C31" t="s">
        <v>307</v>
      </c>
      <c r="D31" t="s">
        <v>100</v>
      </c>
      <c r="E31" t="s">
        <v>64</v>
      </c>
      <c r="F31" t="s">
        <v>43</v>
      </c>
      <c r="G31" t="s">
        <v>18</v>
      </c>
      <c r="H31">
        <v>2</v>
      </c>
      <c r="I31">
        <v>1</v>
      </c>
      <c r="J31" t="s">
        <v>329</v>
      </c>
      <c r="K31">
        <v>1.4</v>
      </c>
      <c r="L31">
        <v>2.2000000000000002</v>
      </c>
      <c r="M31">
        <v>40</v>
      </c>
      <c r="P31" s="1"/>
    </row>
    <row r="32" spans="1:17" x14ac:dyDescent="0.25">
      <c r="A32" s="1">
        <v>44253</v>
      </c>
      <c r="B32" t="s">
        <v>158</v>
      </c>
      <c r="C32" t="s">
        <v>307</v>
      </c>
      <c r="D32" t="s">
        <v>101</v>
      </c>
      <c r="E32" t="s">
        <v>60</v>
      </c>
      <c r="F32" t="s">
        <v>44</v>
      </c>
      <c r="G32" t="s">
        <v>19</v>
      </c>
      <c r="H32">
        <v>1</v>
      </c>
      <c r="I32">
        <v>2</v>
      </c>
      <c r="J32" t="s">
        <v>325</v>
      </c>
      <c r="K32">
        <v>1.2</v>
      </c>
      <c r="L32">
        <v>1</v>
      </c>
      <c r="M32">
        <v>68</v>
      </c>
      <c r="P32" s="1"/>
      <c r="Q32" s="1"/>
    </row>
    <row r="33" spans="1:17" x14ac:dyDescent="0.25">
      <c r="A33" s="1">
        <v>44261</v>
      </c>
      <c r="B33" t="s">
        <v>303</v>
      </c>
      <c r="C33" t="s">
        <v>307</v>
      </c>
      <c r="D33" t="s">
        <v>102</v>
      </c>
      <c r="E33" t="s">
        <v>64</v>
      </c>
      <c r="F33" t="s">
        <v>43</v>
      </c>
      <c r="G33" t="s">
        <v>4</v>
      </c>
      <c r="H33">
        <v>1</v>
      </c>
      <c r="I33">
        <v>1</v>
      </c>
      <c r="J33" t="s">
        <v>326</v>
      </c>
      <c r="K33">
        <v>1.5</v>
      </c>
      <c r="L33">
        <v>0.5</v>
      </c>
      <c r="M33">
        <v>58</v>
      </c>
      <c r="Q33" s="1"/>
    </row>
    <row r="34" spans="1:17" x14ac:dyDescent="0.25">
      <c r="A34" s="1">
        <v>44269</v>
      </c>
      <c r="B34" t="s">
        <v>287</v>
      </c>
      <c r="C34" t="s">
        <v>307</v>
      </c>
      <c r="D34" t="s">
        <v>103</v>
      </c>
      <c r="E34" t="s">
        <v>62</v>
      </c>
      <c r="F34" t="s">
        <v>44</v>
      </c>
      <c r="G34" t="s">
        <v>4</v>
      </c>
      <c r="H34">
        <v>1</v>
      </c>
      <c r="I34">
        <v>1</v>
      </c>
      <c r="J34" t="s">
        <v>333</v>
      </c>
      <c r="K34">
        <v>1.1000000000000001</v>
      </c>
      <c r="L34">
        <v>1.5</v>
      </c>
      <c r="M34">
        <v>43</v>
      </c>
    </row>
    <row r="35" spans="1:17" x14ac:dyDescent="0.25">
      <c r="A35" s="1">
        <v>44275</v>
      </c>
      <c r="B35" t="s">
        <v>287</v>
      </c>
      <c r="C35" t="s">
        <v>307</v>
      </c>
      <c r="D35" t="s">
        <v>104</v>
      </c>
      <c r="E35" t="s">
        <v>64</v>
      </c>
      <c r="F35" t="s">
        <v>43</v>
      </c>
      <c r="G35" t="s">
        <v>18</v>
      </c>
      <c r="H35">
        <v>5</v>
      </c>
      <c r="I35">
        <v>2</v>
      </c>
      <c r="J35" t="s">
        <v>323</v>
      </c>
      <c r="K35">
        <v>2.2999999999999998</v>
      </c>
      <c r="L35">
        <v>2.7</v>
      </c>
      <c r="M35">
        <v>53</v>
      </c>
      <c r="Q35" s="1"/>
    </row>
    <row r="36" spans="1:17" x14ac:dyDescent="0.25">
      <c r="A36" s="1">
        <v>44289</v>
      </c>
      <c r="B36" t="s">
        <v>303</v>
      </c>
      <c r="C36" t="s">
        <v>307</v>
      </c>
      <c r="D36" t="s">
        <v>105</v>
      </c>
      <c r="E36" t="s">
        <v>64</v>
      </c>
      <c r="F36" t="s">
        <v>44</v>
      </c>
      <c r="G36" t="s">
        <v>18</v>
      </c>
      <c r="H36">
        <v>2</v>
      </c>
      <c r="I36">
        <v>1</v>
      </c>
      <c r="J36" t="s">
        <v>321</v>
      </c>
      <c r="K36">
        <v>1.4</v>
      </c>
      <c r="L36">
        <v>2.1</v>
      </c>
      <c r="M36">
        <v>43</v>
      </c>
    </row>
    <row r="37" spans="1:17" x14ac:dyDescent="0.25">
      <c r="A37" s="1">
        <v>44296</v>
      </c>
      <c r="B37" t="s">
        <v>303</v>
      </c>
      <c r="C37" t="s">
        <v>307</v>
      </c>
      <c r="D37" t="s">
        <v>106</v>
      </c>
      <c r="E37" t="s">
        <v>64</v>
      </c>
      <c r="F37" t="s">
        <v>43</v>
      </c>
      <c r="G37" t="s">
        <v>18</v>
      </c>
      <c r="H37">
        <v>4</v>
      </c>
      <c r="I37">
        <v>3</v>
      </c>
      <c r="J37" t="s">
        <v>316</v>
      </c>
      <c r="K37">
        <v>0.9</v>
      </c>
      <c r="L37">
        <v>1.2</v>
      </c>
      <c r="M37">
        <v>45</v>
      </c>
    </row>
    <row r="38" spans="1:17" x14ac:dyDescent="0.25">
      <c r="A38" t="s">
        <v>0</v>
      </c>
      <c r="B38" t="s">
        <v>1</v>
      </c>
      <c r="C38" t="s">
        <v>16</v>
      </c>
      <c r="D38" t="s">
        <v>51</v>
      </c>
      <c r="E38" t="s">
        <v>52</v>
      </c>
      <c r="F38" t="s">
        <v>53</v>
      </c>
      <c r="G38" t="s">
        <v>54</v>
      </c>
      <c r="H38" t="s">
        <v>20</v>
      </c>
      <c r="I38" t="s">
        <v>21</v>
      </c>
      <c r="J38" t="s">
        <v>45</v>
      </c>
      <c r="K38" t="s">
        <v>55</v>
      </c>
      <c r="L38" t="s">
        <v>56</v>
      </c>
      <c r="M38" t="s">
        <v>57</v>
      </c>
      <c r="N38" t="s">
        <v>24</v>
      </c>
    </row>
    <row r="39" spans="1:17" x14ac:dyDescent="0.25">
      <c r="A39" s="1">
        <v>44303</v>
      </c>
      <c r="B39" t="s">
        <v>303</v>
      </c>
      <c r="C39" t="s">
        <v>307</v>
      </c>
      <c r="D39" t="s">
        <v>107</v>
      </c>
      <c r="E39" t="s">
        <v>64</v>
      </c>
      <c r="F39" t="s">
        <v>44</v>
      </c>
      <c r="G39" t="s">
        <v>19</v>
      </c>
      <c r="H39">
        <v>0</v>
      </c>
      <c r="I39">
        <v>4</v>
      </c>
      <c r="J39" t="s">
        <v>332</v>
      </c>
      <c r="K39">
        <v>0.7</v>
      </c>
      <c r="L39">
        <v>2.2999999999999998</v>
      </c>
      <c r="M39">
        <v>63</v>
      </c>
      <c r="Q39" s="1"/>
    </row>
    <row r="40" spans="1:17" x14ac:dyDescent="0.25">
      <c r="A40" s="1">
        <v>44306</v>
      </c>
      <c r="B40" t="s">
        <v>158</v>
      </c>
      <c r="C40" t="s">
        <v>307</v>
      </c>
      <c r="D40" t="s">
        <v>108</v>
      </c>
      <c r="E40" t="s">
        <v>69</v>
      </c>
      <c r="F40" t="s">
        <v>43</v>
      </c>
      <c r="G40" t="s">
        <v>18</v>
      </c>
      <c r="H40">
        <v>2</v>
      </c>
      <c r="I40">
        <v>0</v>
      </c>
      <c r="J40" t="s">
        <v>327</v>
      </c>
      <c r="K40">
        <v>1.3</v>
      </c>
      <c r="L40">
        <v>1.6</v>
      </c>
      <c r="M40">
        <v>60</v>
      </c>
      <c r="Q40" s="1"/>
    </row>
    <row r="41" spans="1:17" x14ac:dyDescent="0.25">
      <c r="A41" s="1">
        <v>44310</v>
      </c>
      <c r="B41" t="s">
        <v>157</v>
      </c>
      <c r="C41" t="s">
        <v>307</v>
      </c>
      <c r="D41" t="s">
        <v>109</v>
      </c>
      <c r="E41" t="s">
        <v>64</v>
      </c>
      <c r="F41" t="s">
        <v>44</v>
      </c>
      <c r="G41" t="s">
        <v>19</v>
      </c>
      <c r="H41">
        <v>1</v>
      </c>
      <c r="I41">
        <v>3</v>
      </c>
      <c r="J41" t="s">
        <v>331</v>
      </c>
      <c r="K41">
        <v>2.2000000000000002</v>
      </c>
      <c r="L41">
        <v>2</v>
      </c>
      <c r="M41">
        <v>49</v>
      </c>
      <c r="P41" s="1"/>
    </row>
    <row r="42" spans="1:17" x14ac:dyDescent="0.25">
      <c r="A42" s="1">
        <v>44325</v>
      </c>
      <c r="B42" t="s">
        <v>303</v>
      </c>
      <c r="C42" t="s">
        <v>307</v>
      </c>
      <c r="D42" t="s">
        <v>110</v>
      </c>
      <c r="E42" t="s">
        <v>62</v>
      </c>
      <c r="F42" t="s">
        <v>43</v>
      </c>
      <c r="G42" t="s">
        <v>4</v>
      </c>
      <c r="H42">
        <v>1</v>
      </c>
      <c r="I42">
        <v>1</v>
      </c>
      <c r="J42" t="s">
        <v>311</v>
      </c>
      <c r="K42">
        <v>0.8</v>
      </c>
      <c r="L42">
        <v>0.7</v>
      </c>
      <c r="M42">
        <v>73</v>
      </c>
      <c r="P42" s="1"/>
      <c r="Q42" s="1"/>
    </row>
    <row r="43" spans="1:17" x14ac:dyDescent="0.25">
      <c r="A43" s="1">
        <v>44331</v>
      </c>
      <c r="B43" t="s">
        <v>303</v>
      </c>
      <c r="C43" t="s">
        <v>307</v>
      </c>
      <c r="D43" t="s">
        <v>111</v>
      </c>
      <c r="E43" t="s">
        <v>64</v>
      </c>
      <c r="F43" t="s">
        <v>44</v>
      </c>
      <c r="G43" t="s">
        <v>19</v>
      </c>
      <c r="H43">
        <v>3</v>
      </c>
      <c r="I43">
        <v>4</v>
      </c>
      <c r="J43" t="s">
        <v>348</v>
      </c>
      <c r="K43">
        <v>3.1</v>
      </c>
      <c r="L43">
        <v>2.8</v>
      </c>
      <c r="M43">
        <v>64</v>
      </c>
      <c r="P43" s="1"/>
      <c r="Q43" s="1"/>
    </row>
    <row r="44" spans="1:17" x14ac:dyDescent="0.25">
      <c r="A44" s="1">
        <v>44338</v>
      </c>
      <c r="B44" t="s">
        <v>303</v>
      </c>
      <c r="C44" t="s">
        <v>307</v>
      </c>
      <c r="D44" t="s">
        <v>112</v>
      </c>
      <c r="E44" t="s">
        <v>64</v>
      </c>
      <c r="F44" t="s">
        <v>43</v>
      </c>
      <c r="G44" t="s">
        <v>18</v>
      </c>
      <c r="H44">
        <v>3</v>
      </c>
      <c r="I44">
        <v>1</v>
      </c>
      <c r="J44" t="s">
        <v>315</v>
      </c>
      <c r="K44">
        <v>2</v>
      </c>
      <c r="L44">
        <v>0.5</v>
      </c>
      <c r="M44">
        <v>52</v>
      </c>
      <c r="P44" s="1"/>
      <c r="Q44" s="1"/>
    </row>
    <row r="46" spans="1:17" x14ac:dyDescent="0.25">
      <c r="A46" t="s">
        <v>370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F098-B99B-41B6-8150-50D5020472AD}">
  <dimension ref="A1:Q57"/>
  <sheetViews>
    <sheetView workbookViewId="0">
      <selection activeCell="O1" sqref="O1:T1048576"/>
    </sheetView>
  </sheetViews>
  <sheetFormatPr defaultRowHeight="15" x14ac:dyDescent="0.25"/>
  <cols>
    <col min="1" max="1" width="10.28515625" customWidth="1"/>
  </cols>
  <sheetData>
    <row r="1" spans="1:17" x14ac:dyDescent="0.25">
      <c r="A1" t="s">
        <v>350</v>
      </c>
    </row>
    <row r="2" spans="1:17" x14ac:dyDescent="0.25">
      <c r="A2" t="s">
        <v>351</v>
      </c>
    </row>
    <row r="3" spans="1:17" x14ac:dyDescent="0.25">
      <c r="A3" t="s">
        <v>352</v>
      </c>
    </row>
    <row r="4" spans="1:17" x14ac:dyDescent="0.25">
      <c r="A4" t="s">
        <v>353</v>
      </c>
    </row>
    <row r="6" spans="1:17" x14ac:dyDescent="0.25">
      <c r="A6" t="s">
        <v>0</v>
      </c>
      <c r="B6" t="s">
        <v>1</v>
      </c>
      <c r="C6" t="s">
        <v>16</v>
      </c>
      <c r="D6" t="s">
        <v>51</v>
      </c>
      <c r="E6" t="s">
        <v>52</v>
      </c>
      <c r="F6" t="s">
        <v>53</v>
      </c>
      <c r="G6" t="s">
        <v>54</v>
      </c>
      <c r="H6" t="s">
        <v>20</v>
      </c>
      <c r="I6" t="s">
        <v>21</v>
      </c>
      <c r="J6" t="s">
        <v>45</v>
      </c>
      <c r="K6" t="s">
        <v>55</v>
      </c>
      <c r="L6" t="s">
        <v>56</v>
      </c>
      <c r="M6" t="s">
        <v>57</v>
      </c>
      <c r="N6" t="s">
        <v>24</v>
      </c>
    </row>
    <row r="7" spans="1:17" x14ac:dyDescent="0.25">
      <c r="A7" s="1">
        <v>44416</v>
      </c>
      <c r="B7" t="s">
        <v>303</v>
      </c>
      <c r="C7" t="s">
        <v>304</v>
      </c>
      <c r="D7" t="s">
        <v>305</v>
      </c>
      <c r="E7" t="s">
        <v>62</v>
      </c>
      <c r="F7" t="s">
        <v>44</v>
      </c>
      <c r="G7" t="s">
        <v>19</v>
      </c>
      <c r="H7">
        <v>0</v>
      </c>
      <c r="I7">
        <v>2</v>
      </c>
      <c r="J7" t="s">
        <v>354</v>
      </c>
      <c r="M7">
        <v>73</v>
      </c>
      <c r="N7" s="2">
        <v>11000</v>
      </c>
      <c r="P7" s="1"/>
    </row>
    <row r="8" spans="1:17" x14ac:dyDescent="0.25">
      <c r="A8" s="1">
        <v>44422</v>
      </c>
      <c r="B8" t="s">
        <v>157</v>
      </c>
      <c r="C8" t="s">
        <v>307</v>
      </c>
      <c r="D8" t="s">
        <v>59</v>
      </c>
      <c r="E8" t="s">
        <v>64</v>
      </c>
      <c r="F8" t="s">
        <v>44</v>
      </c>
      <c r="G8" t="s">
        <v>19</v>
      </c>
      <c r="H8">
        <v>2</v>
      </c>
      <c r="I8">
        <v>5</v>
      </c>
      <c r="J8" t="s">
        <v>321</v>
      </c>
      <c r="K8">
        <v>1.3</v>
      </c>
      <c r="L8">
        <v>2.7</v>
      </c>
      <c r="M8">
        <v>40</v>
      </c>
      <c r="N8" s="2">
        <v>25000</v>
      </c>
      <c r="P8" s="1"/>
    </row>
    <row r="9" spans="1:17" x14ac:dyDescent="0.25">
      <c r="A9" s="1">
        <v>44429</v>
      </c>
      <c r="B9" t="s">
        <v>303</v>
      </c>
      <c r="C9" t="s">
        <v>307</v>
      </c>
      <c r="D9" t="s">
        <v>61</v>
      </c>
      <c r="E9" t="s">
        <v>64</v>
      </c>
      <c r="F9" t="s">
        <v>43</v>
      </c>
      <c r="G9" t="s">
        <v>4</v>
      </c>
      <c r="H9">
        <v>0</v>
      </c>
      <c r="I9">
        <v>0</v>
      </c>
      <c r="J9" t="s">
        <v>327</v>
      </c>
      <c r="K9">
        <v>1.6</v>
      </c>
      <c r="L9">
        <v>0.3</v>
      </c>
      <c r="M9">
        <v>61</v>
      </c>
      <c r="N9" s="2">
        <v>22000</v>
      </c>
    </row>
    <row r="10" spans="1:17" x14ac:dyDescent="0.25">
      <c r="A10" s="1">
        <v>44436</v>
      </c>
      <c r="B10" t="s">
        <v>303</v>
      </c>
      <c r="C10" t="s">
        <v>307</v>
      </c>
      <c r="D10" t="s">
        <v>63</v>
      </c>
      <c r="E10" t="s">
        <v>64</v>
      </c>
      <c r="F10" t="s">
        <v>44</v>
      </c>
      <c r="G10" t="s">
        <v>4</v>
      </c>
      <c r="H10">
        <v>1</v>
      </c>
      <c r="I10">
        <v>1</v>
      </c>
      <c r="J10" t="s">
        <v>355</v>
      </c>
      <c r="K10">
        <v>1.5</v>
      </c>
      <c r="L10">
        <v>0.6</v>
      </c>
      <c r="M10">
        <v>65</v>
      </c>
      <c r="N10" s="2">
        <v>13750</v>
      </c>
      <c r="Q10" s="1"/>
    </row>
    <row r="11" spans="1:17" x14ac:dyDescent="0.25">
      <c r="A11" s="1">
        <v>44451</v>
      </c>
      <c r="B11" t="s">
        <v>303</v>
      </c>
      <c r="C11" t="s">
        <v>307</v>
      </c>
      <c r="D11" t="s">
        <v>66</v>
      </c>
      <c r="E11" t="s">
        <v>62</v>
      </c>
      <c r="F11" t="s">
        <v>43</v>
      </c>
      <c r="G11" t="s">
        <v>4</v>
      </c>
      <c r="H11">
        <v>1</v>
      </c>
      <c r="I11">
        <v>1</v>
      </c>
      <c r="J11" t="s">
        <v>326</v>
      </c>
      <c r="K11">
        <v>1.1000000000000001</v>
      </c>
      <c r="L11">
        <v>0.9</v>
      </c>
      <c r="M11">
        <v>58</v>
      </c>
      <c r="N11" s="2">
        <v>25000</v>
      </c>
      <c r="Q11" s="1"/>
    </row>
    <row r="12" spans="1:17" x14ac:dyDescent="0.25">
      <c r="A12" s="1">
        <v>44455</v>
      </c>
      <c r="B12" t="s">
        <v>181</v>
      </c>
      <c r="C12" t="s">
        <v>193</v>
      </c>
      <c r="D12" t="s">
        <v>119</v>
      </c>
      <c r="E12" t="s">
        <v>85</v>
      </c>
      <c r="F12" t="s">
        <v>43</v>
      </c>
      <c r="G12" t="s">
        <v>4</v>
      </c>
      <c r="H12">
        <v>1</v>
      </c>
      <c r="I12">
        <v>1</v>
      </c>
      <c r="J12" t="s">
        <v>275</v>
      </c>
      <c r="K12">
        <v>1</v>
      </c>
      <c r="L12">
        <v>2.4</v>
      </c>
      <c r="M12">
        <v>56</v>
      </c>
      <c r="N12" s="2">
        <v>25000</v>
      </c>
      <c r="P12" s="1"/>
      <c r="Q12" s="1"/>
    </row>
    <row r="13" spans="1:17" x14ac:dyDescent="0.25">
      <c r="A13" s="1">
        <v>44458</v>
      </c>
      <c r="B13" t="s">
        <v>166</v>
      </c>
      <c r="C13" t="s">
        <v>307</v>
      </c>
      <c r="D13" t="s">
        <v>68</v>
      </c>
      <c r="E13" t="s">
        <v>62</v>
      </c>
      <c r="F13" t="s">
        <v>44</v>
      </c>
      <c r="G13" t="s">
        <v>4</v>
      </c>
      <c r="H13">
        <v>1</v>
      </c>
      <c r="I13">
        <v>1</v>
      </c>
      <c r="J13" t="s">
        <v>316</v>
      </c>
      <c r="K13">
        <v>0.3</v>
      </c>
      <c r="L13">
        <v>1.2</v>
      </c>
      <c r="M13">
        <v>40</v>
      </c>
      <c r="N13" s="2">
        <v>9266</v>
      </c>
    </row>
    <row r="14" spans="1:17" x14ac:dyDescent="0.25">
      <c r="A14" s="1">
        <v>44464</v>
      </c>
      <c r="B14" t="s">
        <v>303</v>
      </c>
      <c r="C14" t="s">
        <v>307</v>
      </c>
      <c r="D14" t="s">
        <v>71</v>
      </c>
      <c r="E14" t="s">
        <v>64</v>
      </c>
      <c r="F14" t="s">
        <v>43</v>
      </c>
      <c r="G14" t="s">
        <v>4</v>
      </c>
      <c r="H14">
        <v>1</v>
      </c>
      <c r="I14">
        <v>1</v>
      </c>
      <c r="J14" t="s">
        <v>312</v>
      </c>
      <c r="K14">
        <v>0.9</v>
      </c>
      <c r="L14">
        <v>0.9</v>
      </c>
      <c r="M14">
        <v>46</v>
      </c>
      <c r="N14" s="2">
        <v>24000</v>
      </c>
    </row>
    <row r="15" spans="1:17" x14ac:dyDescent="0.25">
      <c r="A15" s="1">
        <v>44469</v>
      </c>
      <c r="B15" t="s">
        <v>251</v>
      </c>
      <c r="C15" t="s">
        <v>193</v>
      </c>
      <c r="D15" t="s">
        <v>119</v>
      </c>
      <c r="E15" t="s">
        <v>85</v>
      </c>
      <c r="F15" t="s">
        <v>44</v>
      </c>
      <c r="G15" t="s">
        <v>18</v>
      </c>
      <c r="H15">
        <v>1</v>
      </c>
      <c r="I15">
        <v>0</v>
      </c>
      <c r="J15" t="s">
        <v>356</v>
      </c>
      <c r="K15">
        <v>1.7</v>
      </c>
      <c r="L15">
        <v>0.7</v>
      </c>
      <c r="M15">
        <v>57</v>
      </c>
      <c r="N15" s="2">
        <v>13183</v>
      </c>
      <c r="Q15" s="1"/>
    </row>
    <row r="16" spans="1:17" x14ac:dyDescent="0.25">
      <c r="A16" s="1">
        <v>44472</v>
      </c>
      <c r="B16" t="s">
        <v>243</v>
      </c>
      <c r="C16" t="s">
        <v>307</v>
      </c>
      <c r="D16" t="s">
        <v>72</v>
      </c>
      <c r="E16" t="s">
        <v>62</v>
      </c>
      <c r="F16" t="s">
        <v>44</v>
      </c>
      <c r="G16" t="s">
        <v>18</v>
      </c>
      <c r="H16">
        <v>2</v>
      </c>
      <c r="I16">
        <v>1</v>
      </c>
      <c r="J16" t="s">
        <v>329</v>
      </c>
      <c r="K16">
        <v>0.8</v>
      </c>
      <c r="L16">
        <v>2.2000000000000002</v>
      </c>
      <c r="M16">
        <v>28</v>
      </c>
      <c r="N16" s="2">
        <v>25000</v>
      </c>
      <c r="P16" s="1"/>
    </row>
    <row r="17" spans="1:17" x14ac:dyDescent="0.25">
      <c r="A17" s="1">
        <v>44485</v>
      </c>
      <c r="B17" t="s">
        <v>303</v>
      </c>
      <c r="C17" t="s">
        <v>307</v>
      </c>
      <c r="D17" t="s">
        <v>74</v>
      </c>
      <c r="E17" t="s">
        <v>64</v>
      </c>
      <c r="F17" t="s">
        <v>43</v>
      </c>
      <c r="G17" t="s">
        <v>19</v>
      </c>
      <c r="H17">
        <v>1</v>
      </c>
      <c r="I17">
        <v>2</v>
      </c>
      <c r="J17" t="s">
        <v>343</v>
      </c>
      <c r="K17">
        <v>1.6</v>
      </c>
      <c r="L17">
        <v>1.8</v>
      </c>
      <c r="M17">
        <v>58</v>
      </c>
      <c r="N17" s="2">
        <v>32000</v>
      </c>
    </row>
    <row r="18" spans="1:17" x14ac:dyDescent="0.25">
      <c r="A18" s="1">
        <v>44490</v>
      </c>
      <c r="B18" t="s">
        <v>181</v>
      </c>
      <c r="C18" t="s">
        <v>193</v>
      </c>
      <c r="D18" t="s">
        <v>119</v>
      </c>
      <c r="E18" t="s">
        <v>85</v>
      </c>
      <c r="F18" t="s">
        <v>43</v>
      </c>
      <c r="G18" t="s">
        <v>18</v>
      </c>
      <c r="H18">
        <v>3</v>
      </c>
      <c r="I18">
        <v>1</v>
      </c>
      <c r="J18" t="s">
        <v>357</v>
      </c>
      <c r="K18">
        <v>3.1</v>
      </c>
      <c r="L18">
        <v>1.3</v>
      </c>
      <c r="M18">
        <v>51</v>
      </c>
      <c r="N18" s="2">
        <v>35000</v>
      </c>
      <c r="Q18" s="1"/>
    </row>
    <row r="19" spans="1:17" x14ac:dyDescent="0.25">
      <c r="A19" s="1">
        <v>44493</v>
      </c>
      <c r="B19" t="s">
        <v>166</v>
      </c>
      <c r="C19" t="s">
        <v>307</v>
      </c>
      <c r="D19" t="s">
        <v>75</v>
      </c>
      <c r="E19" t="s">
        <v>62</v>
      </c>
      <c r="F19" t="s">
        <v>44</v>
      </c>
      <c r="G19" t="s">
        <v>19</v>
      </c>
      <c r="H19">
        <v>0</v>
      </c>
      <c r="I19">
        <v>2</v>
      </c>
      <c r="J19" t="s">
        <v>313</v>
      </c>
      <c r="K19">
        <v>1.6</v>
      </c>
      <c r="L19">
        <v>2.1</v>
      </c>
      <c r="M19">
        <v>59</v>
      </c>
      <c r="N19" s="2">
        <v>19510</v>
      </c>
      <c r="Q19" s="1"/>
    </row>
    <row r="20" spans="1:17" x14ac:dyDescent="0.25">
      <c r="A20" s="1">
        <v>44499</v>
      </c>
      <c r="B20" t="s">
        <v>157</v>
      </c>
      <c r="C20" t="s">
        <v>307</v>
      </c>
      <c r="D20" t="s">
        <v>79</v>
      </c>
      <c r="E20" t="s">
        <v>64</v>
      </c>
      <c r="F20" t="s">
        <v>43</v>
      </c>
      <c r="G20" t="s">
        <v>4</v>
      </c>
      <c r="H20">
        <v>1</v>
      </c>
      <c r="I20">
        <v>1</v>
      </c>
      <c r="J20" t="s">
        <v>333</v>
      </c>
      <c r="K20">
        <v>0.6</v>
      </c>
      <c r="L20">
        <v>3</v>
      </c>
      <c r="M20">
        <v>47</v>
      </c>
      <c r="N20" s="2">
        <v>31000</v>
      </c>
      <c r="P20" s="1"/>
      <c r="Q20" s="1"/>
    </row>
    <row r="21" spans="1:17" x14ac:dyDescent="0.25">
      <c r="A21" s="1">
        <v>44504</v>
      </c>
      <c r="B21" t="s">
        <v>358</v>
      </c>
      <c r="C21" t="s">
        <v>193</v>
      </c>
      <c r="D21" t="s">
        <v>119</v>
      </c>
      <c r="E21" t="s">
        <v>85</v>
      </c>
      <c r="F21" t="s">
        <v>44</v>
      </c>
      <c r="G21" t="s">
        <v>18</v>
      </c>
      <c r="H21">
        <v>2</v>
      </c>
      <c r="I21">
        <v>1</v>
      </c>
      <c r="J21" t="s">
        <v>357</v>
      </c>
      <c r="K21">
        <v>0.9</v>
      </c>
      <c r="L21">
        <v>1.4</v>
      </c>
      <c r="M21">
        <v>47</v>
      </c>
      <c r="N21" s="2">
        <v>23050</v>
      </c>
    </row>
    <row r="22" spans="1:17" x14ac:dyDescent="0.25">
      <c r="A22" s="1">
        <v>44507</v>
      </c>
      <c r="B22" t="s">
        <v>166</v>
      </c>
      <c r="C22" t="s">
        <v>307</v>
      </c>
      <c r="D22" t="s">
        <v>81</v>
      </c>
      <c r="E22" t="s">
        <v>62</v>
      </c>
      <c r="F22" t="s">
        <v>44</v>
      </c>
      <c r="G22" t="s">
        <v>18</v>
      </c>
      <c r="H22">
        <v>2</v>
      </c>
      <c r="I22">
        <v>1</v>
      </c>
      <c r="J22" t="s">
        <v>359</v>
      </c>
      <c r="K22">
        <v>1.2</v>
      </c>
      <c r="L22">
        <v>2.4</v>
      </c>
      <c r="M22">
        <v>46</v>
      </c>
      <c r="N22" s="2">
        <v>10244</v>
      </c>
      <c r="P22" s="1"/>
      <c r="Q22" s="1"/>
    </row>
    <row r="23" spans="1:17" x14ac:dyDescent="0.25">
      <c r="A23" s="1">
        <v>44521</v>
      </c>
      <c r="B23" t="s">
        <v>303</v>
      </c>
      <c r="C23" t="s">
        <v>307</v>
      </c>
      <c r="D23" t="s">
        <v>83</v>
      </c>
      <c r="E23" t="s">
        <v>62</v>
      </c>
      <c r="F23" t="s">
        <v>44</v>
      </c>
      <c r="G23" t="s">
        <v>18</v>
      </c>
      <c r="H23">
        <v>2</v>
      </c>
      <c r="I23">
        <v>0</v>
      </c>
      <c r="J23" t="s">
        <v>315</v>
      </c>
      <c r="K23">
        <v>1.2</v>
      </c>
      <c r="L23">
        <v>1.4</v>
      </c>
      <c r="M23">
        <v>38</v>
      </c>
      <c r="N23" s="2">
        <v>32500</v>
      </c>
      <c r="P23" s="1"/>
      <c r="Q23" s="1"/>
    </row>
    <row r="24" spans="1:17" x14ac:dyDescent="0.25">
      <c r="A24" s="1">
        <v>44525</v>
      </c>
      <c r="B24" t="s">
        <v>181</v>
      </c>
      <c r="C24" t="s">
        <v>193</v>
      </c>
      <c r="D24" t="s">
        <v>119</v>
      </c>
      <c r="E24" t="s">
        <v>85</v>
      </c>
      <c r="F24" t="s">
        <v>43</v>
      </c>
      <c r="G24" t="s">
        <v>4</v>
      </c>
      <c r="H24">
        <v>2</v>
      </c>
      <c r="I24">
        <v>2</v>
      </c>
      <c r="J24" t="s">
        <v>356</v>
      </c>
      <c r="K24">
        <v>1.6</v>
      </c>
      <c r="L24">
        <v>1.2</v>
      </c>
      <c r="M24">
        <v>58</v>
      </c>
      <c r="N24" s="2">
        <v>30000</v>
      </c>
      <c r="P24" s="1"/>
    </row>
    <row r="25" spans="1:17" x14ac:dyDescent="0.25">
      <c r="A25" s="1">
        <v>44528</v>
      </c>
      <c r="B25" t="s">
        <v>303</v>
      </c>
      <c r="C25" t="s">
        <v>307</v>
      </c>
      <c r="D25" t="s">
        <v>84</v>
      </c>
      <c r="E25" t="s">
        <v>62</v>
      </c>
      <c r="F25" t="s">
        <v>43</v>
      </c>
      <c r="G25" t="s">
        <v>18</v>
      </c>
      <c r="H25">
        <v>2</v>
      </c>
      <c r="I25">
        <v>1</v>
      </c>
      <c r="J25" t="s">
        <v>323</v>
      </c>
      <c r="K25">
        <v>1.3</v>
      </c>
      <c r="L25">
        <v>1.1000000000000001</v>
      </c>
      <c r="M25">
        <v>54</v>
      </c>
      <c r="N25" s="2">
        <v>24000</v>
      </c>
      <c r="P25" s="1"/>
      <c r="Q25" s="1"/>
    </row>
    <row r="26" spans="1:17" x14ac:dyDescent="0.25">
      <c r="A26" s="1">
        <v>44534</v>
      </c>
      <c r="B26" t="s">
        <v>303</v>
      </c>
      <c r="C26" t="s">
        <v>307</v>
      </c>
      <c r="D26" t="s">
        <v>86</v>
      </c>
      <c r="E26" t="s">
        <v>64</v>
      </c>
      <c r="F26" t="s">
        <v>44</v>
      </c>
      <c r="G26" t="s">
        <v>19</v>
      </c>
      <c r="H26">
        <v>2</v>
      </c>
      <c r="I26">
        <v>3</v>
      </c>
      <c r="J26" t="s">
        <v>319</v>
      </c>
      <c r="K26">
        <v>1.5</v>
      </c>
      <c r="L26">
        <v>0.9</v>
      </c>
      <c r="M26">
        <v>51</v>
      </c>
      <c r="P26" s="1"/>
      <c r="Q26" s="1"/>
    </row>
    <row r="27" spans="1:17" x14ac:dyDescent="0.25">
      <c r="A27" s="1">
        <v>44539</v>
      </c>
      <c r="B27" t="s">
        <v>360</v>
      </c>
      <c r="C27" t="s">
        <v>193</v>
      </c>
      <c r="D27" t="s">
        <v>119</v>
      </c>
      <c r="E27" t="s">
        <v>85</v>
      </c>
      <c r="F27" t="s">
        <v>44</v>
      </c>
      <c r="G27" t="s">
        <v>4</v>
      </c>
      <c r="H27">
        <v>1</v>
      </c>
      <c r="I27">
        <v>1</v>
      </c>
      <c r="J27" t="s">
        <v>275</v>
      </c>
      <c r="K27">
        <v>1</v>
      </c>
      <c r="L27">
        <v>0.6</v>
      </c>
      <c r="M27">
        <v>57</v>
      </c>
      <c r="N27" s="2">
        <v>8932</v>
      </c>
      <c r="P27" s="1"/>
      <c r="Q27" s="1"/>
    </row>
    <row r="28" spans="1:17" x14ac:dyDescent="0.25">
      <c r="A28" s="1">
        <v>44542</v>
      </c>
      <c r="B28" t="s">
        <v>243</v>
      </c>
      <c r="C28" t="s">
        <v>307</v>
      </c>
      <c r="D28" t="s">
        <v>87</v>
      </c>
      <c r="E28" t="s">
        <v>62</v>
      </c>
      <c r="F28" t="s">
        <v>43</v>
      </c>
      <c r="G28" t="s">
        <v>18</v>
      </c>
      <c r="H28">
        <v>5</v>
      </c>
      <c r="I28">
        <v>2</v>
      </c>
      <c r="J28" t="s">
        <v>331</v>
      </c>
      <c r="K28">
        <v>1.6</v>
      </c>
      <c r="L28">
        <v>1.7</v>
      </c>
      <c r="M28">
        <v>44</v>
      </c>
      <c r="N28" s="2">
        <v>12000</v>
      </c>
      <c r="P28" s="1"/>
    </row>
    <row r="29" spans="1:17" x14ac:dyDescent="0.25">
      <c r="A29" s="1">
        <v>44545</v>
      </c>
      <c r="B29" t="s">
        <v>157</v>
      </c>
      <c r="C29" t="s">
        <v>307</v>
      </c>
      <c r="D29" t="s">
        <v>88</v>
      </c>
      <c r="E29" t="s">
        <v>92</v>
      </c>
      <c r="F29" t="s">
        <v>44</v>
      </c>
      <c r="G29" t="s">
        <v>18</v>
      </c>
      <c r="H29">
        <v>3</v>
      </c>
      <c r="I29">
        <v>2</v>
      </c>
      <c r="J29" t="s">
        <v>332</v>
      </c>
      <c r="K29">
        <v>2.2999999999999998</v>
      </c>
      <c r="L29">
        <v>2</v>
      </c>
      <c r="M29">
        <v>43</v>
      </c>
      <c r="N29" s="2">
        <v>10028</v>
      </c>
      <c r="P29" s="1"/>
      <c r="Q29" s="1"/>
    </row>
    <row r="30" spans="1:17" x14ac:dyDescent="0.25">
      <c r="A30" s="1">
        <v>44548</v>
      </c>
      <c r="B30" t="s">
        <v>303</v>
      </c>
      <c r="C30" t="s">
        <v>307</v>
      </c>
      <c r="D30" t="s">
        <v>90</v>
      </c>
      <c r="E30" t="s">
        <v>64</v>
      </c>
      <c r="F30" t="s">
        <v>43</v>
      </c>
      <c r="G30" t="s">
        <v>18</v>
      </c>
      <c r="H30">
        <v>1</v>
      </c>
      <c r="I30">
        <v>0</v>
      </c>
      <c r="J30" t="s">
        <v>311</v>
      </c>
      <c r="K30">
        <v>1.8</v>
      </c>
      <c r="L30">
        <v>0.6</v>
      </c>
      <c r="M30">
        <v>51</v>
      </c>
      <c r="N30" s="2">
        <v>15000</v>
      </c>
      <c r="P30" s="1"/>
      <c r="Q30" s="1"/>
    </row>
    <row r="31" spans="1:17" x14ac:dyDescent="0.25">
      <c r="A31" s="1">
        <v>44569</v>
      </c>
      <c r="B31" t="s">
        <v>157</v>
      </c>
      <c r="C31" t="s">
        <v>307</v>
      </c>
      <c r="D31" t="s">
        <v>93</v>
      </c>
      <c r="E31" t="s">
        <v>64</v>
      </c>
      <c r="F31" t="s">
        <v>43</v>
      </c>
      <c r="G31" t="s">
        <v>19</v>
      </c>
      <c r="H31">
        <v>2</v>
      </c>
      <c r="I31">
        <v>3</v>
      </c>
      <c r="J31" t="s">
        <v>321</v>
      </c>
      <c r="K31">
        <v>1.4</v>
      </c>
      <c r="L31">
        <v>2</v>
      </c>
      <c r="M31">
        <v>36</v>
      </c>
      <c r="N31">
        <v>250</v>
      </c>
      <c r="P31" s="1"/>
      <c r="Q31" s="1"/>
    </row>
    <row r="32" spans="1:17" x14ac:dyDescent="0.25">
      <c r="A32" s="1">
        <v>44577</v>
      </c>
      <c r="B32" t="s">
        <v>303</v>
      </c>
      <c r="C32" t="s">
        <v>307</v>
      </c>
      <c r="D32" t="s">
        <v>94</v>
      </c>
      <c r="E32" t="s">
        <v>62</v>
      </c>
      <c r="F32" t="s">
        <v>44</v>
      </c>
      <c r="G32" t="s">
        <v>4</v>
      </c>
      <c r="H32">
        <v>1</v>
      </c>
      <c r="I32">
        <v>1</v>
      </c>
      <c r="J32" t="s">
        <v>327</v>
      </c>
      <c r="K32">
        <v>2.6</v>
      </c>
      <c r="L32">
        <v>1</v>
      </c>
      <c r="M32">
        <v>51</v>
      </c>
      <c r="P32" s="1"/>
      <c r="Q32" s="1"/>
    </row>
    <row r="33" spans="1:17" x14ac:dyDescent="0.25">
      <c r="A33" s="1">
        <v>44582</v>
      </c>
      <c r="B33" t="s">
        <v>158</v>
      </c>
      <c r="C33" t="s">
        <v>307</v>
      </c>
      <c r="D33" t="s">
        <v>97</v>
      </c>
      <c r="E33" t="s">
        <v>60</v>
      </c>
      <c r="F33" t="s">
        <v>43</v>
      </c>
      <c r="G33" t="s">
        <v>19</v>
      </c>
      <c r="H33">
        <v>0</v>
      </c>
      <c r="I33">
        <v>2</v>
      </c>
      <c r="J33" t="s">
        <v>355</v>
      </c>
      <c r="K33">
        <v>1.9</v>
      </c>
      <c r="L33">
        <v>1.3</v>
      </c>
      <c r="M33">
        <v>68</v>
      </c>
      <c r="N33" s="2">
        <v>1000</v>
      </c>
      <c r="P33" s="1"/>
      <c r="Q33" s="1"/>
    </row>
    <row r="34" spans="1:17" x14ac:dyDescent="0.25">
      <c r="A34" s="1">
        <v>44597</v>
      </c>
      <c r="B34" t="s">
        <v>303</v>
      </c>
      <c r="C34" t="s">
        <v>307</v>
      </c>
      <c r="D34" t="s">
        <v>98</v>
      </c>
      <c r="E34" t="s">
        <v>64</v>
      </c>
      <c r="F34" t="s">
        <v>44</v>
      </c>
      <c r="G34" t="s">
        <v>18</v>
      </c>
      <c r="H34">
        <v>3</v>
      </c>
      <c r="I34">
        <v>2</v>
      </c>
      <c r="J34" t="s">
        <v>326</v>
      </c>
      <c r="K34">
        <v>1.1000000000000001</v>
      </c>
      <c r="L34">
        <v>1.5</v>
      </c>
      <c r="M34">
        <v>48</v>
      </c>
      <c r="N34" s="2">
        <v>10000</v>
      </c>
      <c r="P34" s="1"/>
      <c r="Q34" s="1"/>
    </row>
    <row r="35" spans="1:17" x14ac:dyDescent="0.25">
      <c r="A35" s="1">
        <v>44604</v>
      </c>
      <c r="B35" t="s">
        <v>303</v>
      </c>
      <c r="C35" t="s">
        <v>307</v>
      </c>
      <c r="D35" t="s">
        <v>100</v>
      </c>
      <c r="E35" t="s">
        <v>64</v>
      </c>
      <c r="F35" t="s">
        <v>43</v>
      </c>
      <c r="G35" t="s">
        <v>19</v>
      </c>
      <c r="H35">
        <v>0</v>
      </c>
      <c r="I35">
        <v>2</v>
      </c>
      <c r="J35" t="s">
        <v>316</v>
      </c>
      <c r="K35">
        <v>1</v>
      </c>
      <c r="L35">
        <v>1.5</v>
      </c>
      <c r="M35">
        <v>61</v>
      </c>
      <c r="N35" s="2">
        <v>10000</v>
      </c>
      <c r="P35" s="1"/>
      <c r="Q35" s="1"/>
    </row>
    <row r="36" spans="1:17" x14ac:dyDescent="0.25">
      <c r="A36" s="1">
        <v>44611</v>
      </c>
      <c r="B36" t="s">
        <v>157</v>
      </c>
      <c r="C36" t="s">
        <v>307</v>
      </c>
      <c r="D36" t="s">
        <v>101</v>
      </c>
      <c r="E36" t="s">
        <v>64</v>
      </c>
      <c r="F36" t="s">
        <v>44</v>
      </c>
      <c r="G36" t="s">
        <v>19</v>
      </c>
      <c r="H36">
        <v>0</v>
      </c>
      <c r="I36">
        <v>1</v>
      </c>
      <c r="J36" t="s">
        <v>312</v>
      </c>
      <c r="K36">
        <v>0.6</v>
      </c>
      <c r="L36">
        <v>1.1000000000000001</v>
      </c>
      <c r="M36">
        <v>42</v>
      </c>
      <c r="N36" s="2">
        <v>10000</v>
      </c>
    </row>
    <row r="37" spans="1:17" x14ac:dyDescent="0.25">
      <c r="A37" t="s">
        <v>0</v>
      </c>
      <c r="B37" t="s">
        <v>1</v>
      </c>
      <c r="C37" t="s">
        <v>16</v>
      </c>
      <c r="D37" t="s">
        <v>51</v>
      </c>
      <c r="E37" t="s">
        <v>52</v>
      </c>
      <c r="F37" t="s">
        <v>53</v>
      </c>
      <c r="G37" t="s">
        <v>54</v>
      </c>
      <c r="H37" t="s">
        <v>20</v>
      </c>
      <c r="I37" t="s">
        <v>21</v>
      </c>
      <c r="J37" t="s">
        <v>45</v>
      </c>
      <c r="K37" t="s">
        <v>55</v>
      </c>
      <c r="L37" t="s">
        <v>56</v>
      </c>
      <c r="M37" t="s">
        <v>57</v>
      </c>
      <c r="N37" t="s">
        <v>24</v>
      </c>
    </row>
    <row r="38" spans="1:17" x14ac:dyDescent="0.25">
      <c r="A38" s="1">
        <v>44618</v>
      </c>
      <c r="B38" t="s">
        <v>157</v>
      </c>
      <c r="C38" t="s">
        <v>307</v>
      </c>
      <c r="D38" t="s">
        <v>102</v>
      </c>
      <c r="E38" t="s">
        <v>64</v>
      </c>
      <c r="F38" t="s">
        <v>43</v>
      </c>
      <c r="G38" t="s">
        <v>19</v>
      </c>
      <c r="H38">
        <v>0</v>
      </c>
      <c r="I38">
        <v>1</v>
      </c>
      <c r="J38" t="s">
        <v>329</v>
      </c>
      <c r="K38">
        <v>0.9</v>
      </c>
      <c r="L38">
        <v>2.4</v>
      </c>
      <c r="M38">
        <v>32</v>
      </c>
      <c r="N38" s="2">
        <v>25000</v>
      </c>
      <c r="P38" s="1"/>
      <c r="Q38" s="1"/>
    </row>
    <row r="39" spans="1:17" x14ac:dyDescent="0.25">
      <c r="A39" s="1">
        <v>44625</v>
      </c>
      <c r="B39" t="s">
        <v>303</v>
      </c>
      <c r="C39" t="s">
        <v>307</v>
      </c>
      <c r="D39" t="s">
        <v>103</v>
      </c>
      <c r="E39" t="s">
        <v>64</v>
      </c>
      <c r="F39" t="s">
        <v>44</v>
      </c>
      <c r="G39" t="s">
        <v>18</v>
      </c>
      <c r="H39">
        <v>4</v>
      </c>
      <c r="I39">
        <v>1</v>
      </c>
      <c r="J39" t="s">
        <v>343</v>
      </c>
      <c r="K39">
        <v>1.2</v>
      </c>
      <c r="L39">
        <v>0.4</v>
      </c>
      <c r="M39">
        <v>53</v>
      </c>
      <c r="N39" s="2">
        <v>25000</v>
      </c>
      <c r="P39" s="1"/>
      <c r="Q39" s="1"/>
    </row>
    <row r="40" spans="1:17" x14ac:dyDescent="0.25">
      <c r="A40" s="1">
        <v>44629</v>
      </c>
      <c r="B40" t="s">
        <v>251</v>
      </c>
      <c r="C40" t="s">
        <v>193</v>
      </c>
      <c r="D40" t="s">
        <v>91</v>
      </c>
      <c r="E40" t="s">
        <v>92</v>
      </c>
      <c r="F40" t="s">
        <v>44</v>
      </c>
      <c r="G40" t="s">
        <v>18</v>
      </c>
      <c r="H40">
        <v>2</v>
      </c>
      <c r="I40">
        <v>1</v>
      </c>
      <c r="J40" t="s">
        <v>361</v>
      </c>
      <c r="K40">
        <v>2.5</v>
      </c>
      <c r="L40">
        <v>0.9</v>
      </c>
      <c r="M40">
        <v>36</v>
      </c>
      <c r="N40" s="2">
        <v>36574</v>
      </c>
      <c r="P40" s="1"/>
    </row>
    <row r="41" spans="1:17" x14ac:dyDescent="0.25">
      <c r="A41" s="1">
        <v>44633</v>
      </c>
      <c r="B41" t="s">
        <v>335</v>
      </c>
      <c r="C41" t="s">
        <v>307</v>
      </c>
      <c r="D41" t="s">
        <v>104</v>
      </c>
      <c r="E41" t="s">
        <v>62</v>
      </c>
      <c r="F41" t="s">
        <v>43</v>
      </c>
      <c r="G41" t="s">
        <v>18</v>
      </c>
      <c r="H41">
        <v>2</v>
      </c>
      <c r="I41">
        <v>1</v>
      </c>
      <c r="J41" t="s">
        <v>313</v>
      </c>
      <c r="K41">
        <v>1.8</v>
      </c>
      <c r="L41">
        <v>1.1000000000000001</v>
      </c>
      <c r="M41">
        <v>53</v>
      </c>
      <c r="N41" s="2">
        <v>24000</v>
      </c>
      <c r="P41" s="1"/>
    </row>
    <row r="42" spans="1:17" x14ac:dyDescent="0.25">
      <c r="A42" s="1">
        <v>44637</v>
      </c>
      <c r="B42" t="s">
        <v>198</v>
      </c>
      <c r="C42" t="s">
        <v>193</v>
      </c>
      <c r="D42" t="s">
        <v>91</v>
      </c>
      <c r="E42" t="s">
        <v>85</v>
      </c>
      <c r="F42" t="s">
        <v>43</v>
      </c>
      <c r="G42" t="s">
        <v>4</v>
      </c>
      <c r="H42">
        <v>1</v>
      </c>
      <c r="I42">
        <v>1</v>
      </c>
      <c r="J42" t="s">
        <v>361</v>
      </c>
      <c r="K42">
        <v>1.5</v>
      </c>
      <c r="L42">
        <v>2.2000000000000002</v>
      </c>
      <c r="M42">
        <v>46</v>
      </c>
      <c r="N42" s="2">
        <v>25000</v>
      </c>
      <c r="P42" s="1"/>
    </row>
    <row r="43" spans="1:17" x14ac:dyDescent="0.25">
      <c r="A43" s="1">
        <v>44640</v>
      </c>
      <c r="B43" t="s">
        <v>287</v>
      </c>
      <c r="C43" t="s">
        <v>307</v>
      </c>
      <c r="D43" t="s">
        <v>105</v>
      </c>
      <c r="E43" t="s">
        <v>62</v>
      </c>
      <c r="F43" t="s">
        <v>44</v>
      </c>
      <c r="G43" t="s">
        <v>4</v>
      </c>
      <c r="H43">
        <v>0</v>
      </c>
      <c r="I43">
        <v>0</v>
      </c>
      <c r="J43" t="s">
        <v>333</v>
      </c>
      <c r="K43">
        <v>0.2</v>
      </c>
      <c r="L43">
        <v>1.2</v>
      </c>
      <c r="M43">
        <v>45</v>
      </c>
      <c r="N43" s="2">
        <v>43058</v>
      </c>
    </row>
    <row r="44" spans="1:17" x14ac:dyDescent="0.25">
      <c r="A44" s="1">
        <v>44653</v>
      </c>
      <c r="B44" t="s">
        <v>303</v>
      </c>
      <c r="C44" t="s">
        <v>307</v>
      </c>
      <c r="D44" t="s">
        <v>106</v>
      </c>
      <c r="E44" t="s">
        <v>64</v>
      </c>
      <c r="F44" t="s">
        <v>43</v>
      </c>
      <c r="G44" t="s">
        <v>4</v>
      </c>
      <c r="H44">
        <v>0</v>
      </c>
      <c r="I44">
        <v>0</v>
      </c>
      <c r="J44" t="s">
        <v>359</v>
      </c>
      <c r="K44">
        <v>1.2</v>
      </c>
      <c r="L44">
        <v>0.6</v>
      </c>
      <c r="M44">
        <v>67</v>
      </c>
      <c r="N44" s="2">
        <v>50500</v>
      </c>
      <c r="P44" s="1"/>
    </row>
    <row r="45" spans="1:17" x14ac:dyDescent="0.25">
      <c r="A45" s="1">
        <v>44658</v>
      </c>
      <c r="B45" t="s">
        <v>181</v>
      </c>
      <c r="C45" t="s">
        <v>193</v>
      </c>
      <c r="D45" t="s">
        <v>96</v>
      </c>
      <c r="E45" t="s">
        <v>85</v>
      </c>
      <c r="F45" t="s">
        <v>43</v>
      </c>
      <c r="G45" t="s">
        <v>4</v>
      </c>
      <c r="H45">
        <v>1</v>
      </c>
      <c r="I45">
        <v>1</v>
      </c>
      <c r="J45" t="s">
        <v>362</v>
      </c>
      <c r="K45">
        <v>1.4</v>
      </c>
      <c r="L45">
        <v>0.9</v>
      </c>
      <c r="M45">
        <v>35</v>
      </c>
      <c r="N45" s="2">
        <v>48000</v>
      </c>
      <c r="P45" s="1"/>
      <c r="Q45" s="1"/>
    </row>
    <row r="46" spans="1:17" x14ac:dyDescent="0.25">
      <c r="A46" s="1">
        <v>44661</v>
      </c>
      <c r="B46" t="s">
        <v>243</v>
      </c>
      <c r="C46" t="s">
        <v>307</v>
      </c>
      <c r="D46" t="s">
        <v>107</v>
      </c>
      <c r="E46" t="s">
        <v>62</v>
      </c>
      <c r="F46" t="s">
        <v>43</v>
      </c>
      <c r="G46" t="s">
        <v>19</v>
      </c>
      <c r="H46">
        <v>1</v>
      </c>
      <c r="I46">
        <v>2</v>
      </c>
      <c r="J46" t="s">
        <v>315</v>
      </c>
      <c r="K46">
        <v>0.9</v>
      </c>
      <c r="L46">
        <v>1</v>
      </c>
      <c r="M46">
        <v>54</v>
      </c>
      <c r="N46" s="2">
        <v>47000</v>
      </c>
      <c r="P46" s="1"/>
    </row>
    <row r="47" spans="1:17" x14ac:dyDescent="0.25">
      <c r="A47" s="1">
        <v>44665</v>
      </c>
      <c r="B47" t="s">
        <v>181</v>
      </c>
      <c r="C47" t="s">
        <v>193</v>
      </c>
      <c r="D47" t="s">
        <v>96</v>
      </c>
      <c r="E47" t="s">
        <v>85</v>
      </c>
      <c r="F47" t="s">
        <v>44</v>
      </c>
      <c r="G47" t="s">
        <v>18</v>
      </c>
      <c r="H47">
        <v>3</v>
      </c>
      <c r="I47">
        <v>2</v>
      </c>
      <c r="J47" t="s">
        <v>362</v>
      </c>
      <c r="K47">
        <v>2</v>
      </c>
      <c r="L47">
        <v>2.6</v>
      </c>
      <c r="M47">
        <v>26</v>
      </c>
      <c r="N47" s="2">
        <v>79468</v>
      </c>
      <c r="P47" s="1"/>
      <c r="Q47" s="1"/>
    </row>
    <row r="48" spans="1:17" x14ac:dyDescent="0.25">
      <c r="A48" s="1">
        <v>44668</v>
      </c>
      <c r="B48" t="s">
        <v>243</v>
      </c>
      <c r="C48" t="s">
        <v>307</v>
      </c>
      <c r="D48" t="s">
        <v>108</v>
      </c>
      <c r="E48" t="s">
        <v>62</v>
      </c>
      <c r="F48" t="s">
        <v>44</v>
      </c>
      <c r="G48" t="s">
        <v>19</v>
      </c>
      <c r="H48">
        <v>0</v>
      </c>
      <c r="I48">
        <v>2</v>
      </c>
      <c r="J48" t="s">
        <v>323</v>
      </c>
      <c r="K48">
        <v>0.5</v>
      </c>
      <c r="L48">
        <v>1.1000000000000001</v>
      </c>
      <c r="M48">
        <v>56</v>
      </c>
      <c r="N48" s="2">
        <v>22000</v>
      </c>
      <c r="P48" s="1"/>
      <c r="Q48" s="1"/>
    </row>
    <row r="49" spans="1:17" x14ac:dyDescent="0.25">
      <c r="A49" s="1">
        <v>44674</v>
      </c>
      <c r="B49" t="s">
        <v>303</v>
      </c>
      <c r="C49" t="s">
        <v>307</v>
      </c>
      <c r="D49" t="s">
        <v>109</v>
      </c>
      <c r="E49" t="s">
        <v>64</v>
      </c>
      <c r="F49" t="s">
        <v>43</v>
      </c>
      <c r="G49" t="s">
        <v>4</v>
      </c>
      <c r="H49">
        <v>2</v>
      </c>
      <c r="I49">
        <v>2</v>
      </c>
      <c r="J49" t="s">
        <v>319</v>
      </c>
      <c r="K49">
        <v>1.3</v>
      </c>
      <c r="L49">
        <v>0.7</v>
      </c>
      <c r="M49">
        <v>50</v>
      </c>
      <c r="N49" s="2">
        <v>50500</v>
      </c>
      <c r="P49" s="1"/>
      <c r="Q49" s="1"/>
    </row>
    <row r="50" spans="1:17" x14ac:dyDescent="0.25">
      <c r="A50" s="1">
        <v>44679</v>
      </c>
      <c r="B50" t="s">
        <v>161</v>
      </c>
      <c r="C50" t="s">
        <v>193</v>
      </c>
      <c r="D50" t="s">
        <v>99</v>
      </c>
      <c r="E50" t="s">
        <v>85</v>
      </c>
      <c r="F50" t="s">
        <v>44</v>
      </c>
      <c r="G50" t="s">
        <v>18</v>
      </c>
      <c r="H50">
        <v>2</v>
      </c>
      <c r="I50">
        <v>1</v>
      </c>
      <c r="J50" t="s">
        <v>262</v>
      </c>
      <c r="K50">
        <v>1.6</v>
      </c>
      <c r="L50">
        <v>2.4</v>
      </c>
      <c r="M50">
        <v>46</v>
      </c>
      <c r="N50" s="2">
        <v>60000</v>
      </c>
      <c r="P50" s="1"/>
    </row>
    <row r="51" spans="1:17" x14ac:dyDescent="0.25">
      <c r="A51" s="1">
        <v>44683</v>
      </c>
      <c r="B51" t="s">
        <v>158</v>
      </c>
      <c r="C51" t="s">
        <v>307</v>
      </c>
      <c r="D51" t="s">
        <v>110</v>
      </c>
      <c r="E51" t="s">
        <v>117</v>
      </c>
      <c r="F51" t="s">
        <v>44</v>
      </c>
      <c r="G51" t="s">
        <v>19</v>
      </c>
      <c r="H51">
        <v>0</v>
      </c>
      <c r="I51">
        <v>2</v>
      </c>
      <c r="J51" t="s">
        <v>331</v>
      </c>
      <c r="K51">
        <v>0.3</v>
      </c>
      <c r="L51">
        <v>1.8</v>
      </c>
      <c r="M51">
        <v>45</v>
      </c>
      <c r="N51" s="2">
        <v>26492</v>
      </c>
      <c r="P51" s="1"/>
    </row>
    <row r="52" spans="1:17" x14ac:dyDescent="0.25">
      <c r="A52" s="1">
        <v>44686</v>
      </c>
      <c r="B52" t="s">
        <v>181</v>
      </c>
      <c r="C52" t="s">
        <v>193</v>
      </c>
      <c r="D52" t="s">
        <v>99</v>
      </c>
      <c r="E52" t="s">
        <v>85</v>
      </c>
      <c r="F52" t="s">
        <v>43</v>
      </c>
      <c r="G52" t="s">
        <v>18</v>
      </c>
      <c r="H52">
        <v>1</v>
      </c>
      <c r="I52">
        <v>0</v>
      </c>
      <c r="J52" t="s">
        <v>262</v>
      </c>
      <c r="K52">
        <v>1.1000000000000001</v>
      </c>
      <c r="L52">
        <v>1.6</v>
      </c>
      <c r="M52">
        <v>63</v>
      </c>
      <c r="N52" s="2">
        <v>48000</v>
      </c>
      <c r="P52" s="1"/>
      <c r="Q52" s="1"/>
    </row>
    <row r="53" spans="1:17" x14ac:dyDescent="0.25">
      <c r="A53" s="1">
        <v>44689</v>
      </c>
      <c r="B53" t="s">
        <v>303</v>
      </c>
      <c r="C53" t="s">
        <v>307</v>
      </c>
      <c r="D53" t="s">
        <v>111</v>
      </c>
      <c r="E53" t="s">
        <v>62</v>
      </c>
      <c r="F53" t="s">
        <v>43</v>
      </c>
      <c r="G53" t="s">
        <v>4</v>
      </c>
      <c r="H53">
        <v>1</v>
      </c>
      <c r="I53">
        <v>1</v>
      </c>
      <c r="J53" t="s">
        <v>332</v>
      </c>
      <c r="K53">
        <v>0.8</v>
      </c>
      <c r="L53">
        <v>1.4</v>
      </c>
      <c r="M53">
        <v>47</v>
      </c>
      <c r="N53" s="2">
        <v>51500</v>
      </c>
      <c r="P53" s="1"/>
      <c r="Q53" s="1"/>
    </row>
    <row r="54" spans="1:17" x14ac:dyDescent="0.25">
      <c r="A54" s="1">
        <v>44695</v>
      </c>
      <c r="B54" t="s">
        <v>303</v>
      </c>
      <c r="C54" t="s">
        <v>307</v>
      </c>
      <c r="D54" t="s">
        <v>112</v>
      </c>
      <c r="E54" t="s">
        <v>64</v>
      </c>
      <c r="F54" t="s">
        <v>44</v>
      </c>
      <c r="G54" t="s">
        <v>4</v>
      </c>
      <c r="H54">
        <v>2</v>
      </c>
      <c r="I54">
        <v>2</v>
      </c>
      <c r="J54" t="s">
        <v>311</v>
      </c>
      <c r="K54">
        <v>1.6</v>
      </c>
      <c r="L54">
        <v>1.3</v>
      </c>
      <c r="M54">
        <v>51</v>
      </c>
      <c r="N54" s="2">
        <v>33000</v>
      </c>
      <c r="P54" s="1"/>
      <c r="Q54" s="1"/>
    </row>
    <row r="55" spans="1:17" x14ac:dyDescent="0.25">
      <c r="A55" s="1">
        <v>44699</v>
      </c>
      <c r="B55" t="s">
        <v>181</v>
      </c>
      <c r="C55" t="s">
        <v>193</v>
      </c>
      <c r="D55" t="s">
        <v>121</v>
      </c>
      <c r="E55" t="s">
        <v>92</v>
      </c>
      <c r="F55" t="s">
        <v>186</v>
      </c>
      <c r="G55" t="s">
        <v>4</v>
      </c>
      <c r="H55" t="s">
        <v>257</v>
      </c>
      <c r="I55" t="s">
        <v>278</v>
      </c>
      <c r="J55" t="s">
        <v>363</v>
      </c>
      <c r="K55">
        <v>1.9</v>
      </c>
      <c r="L55">
        <v>1.1000000000000001</v>
      </c>
      <c r="M55">
        <v>48</v>
      </c>
      <c r="P55" s="1"/>
      <c r="Q55" s="1"/>
    </row>
    <row r="57" spans="1:17" x14ac:dyDescent="0.25">
      <c r="A57" t="s">
        <v>364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6D91-7ED9-4B57-A521-9C27D65F6B54}">
  <dimension ref="A1:Q59"/>
  <sheetViews>
    <sheetView workbookViewId="0">
      <selection activeCell="O1" sqref="O1:T1048576"/>
    </sheetView>
  </sheetViews>
  <sheetFormatPr defaultRowHeight="15" x14ac:dyDescent="0.25"/>
  <cols>
    <col min="1" max="1" width="10.28515625" customWidth="1"/>
  </cols>
  <sheetData>
    <row r="1" spans="1:17" x14ac:dyDescent="0.25">
      <c r="A1" t="s">
        <v>336</v>
      </c>
    </row>
    <row r="2" spans="1:17" x14ac:dyDescent="0.25">
      <c r="A2" t="s">
        <v>337</v>
      </c>
    </row>
    <row r="3" spans="1:17" x14ac:dyDescent="0.25">
      <c r="A3" t="s">
        <v>338</v>
      </c>
    </row>
    <row r="4" spans="1:17" x14ac:dyDescent="0.25">
      <c r="A4" t="s">
        <v>339</v>
      </c>
    </row>
    <row r="7" spans="1:17" x14ac:dyDescent="0.25">
      <c r="A7" t="s">
        <v>0</v>
      </c>
      <c r="B7" t="s">
        <v>1</v>
      </c>
      <c r="C7" t="s">
        <v>16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 t="s">
        <v>45</v>
      </c>
      <c r="K7" t="s">
        <v>55</v>
      </c>
      <c r="L7" t="s">
        <v>56</v>
      </c>
      <c r="M7" t="s">
        <v>57</v>
      </c>
      <c r="N7" t="s">
        <v>24</v>
      </c>
    </row>
    <row r="8" spans="1:17" x14ac:dyDescent="0.25">
      <c r="A8" s="1">
        <v>44774</v>
      </c>
      <c r="B8" t="s">
        <v>340</v>
      </c>
      <c r="C8" t="s">
        <v>304</v>
      </c>
      <c r="D8" t="s">
        <v>305</v>
      </c>
      <c r="E8" t="s">
        <v>117</v>
      </c>
      <c r="F8" t="s">
        <v>44</v>
      </c>
      <c r="G8" t="s">
        <v>18</v>
      </c>
      <c r="H8">
        <v>4</v>
      </c>
      <c r="I8">
        <v>0</v>
      </c>
      <c r="J8" t="s">
        <v>341</v>
      </c>
      <c r="M8">
        <v>45</v>
      </c>
      <c r="N8" s="2">
        <v>26350</v>
      </c>
      <c r="P8" s="1"/>
      <c r="Q8" s="1"/>
    </row>
    <row r="9" spans="1:17" x14ac:dyDescent="0.25">
      <c r="A9" s="1">
        <v>44778</v>
      </c>
      <c r="B9" t="s">
        <v>158</v>
      </c>
      <c r="C9" t="s">
        <v>307</v>
      </c>
      <c r="D9" t="s">
        <v>59</v>
      </c>
      <c r="E9" t="s">
        <v>60</v>
      </c>
      <c r="F9" t="s">
        <v>43</v>
      </c>
      <c r="G9" t="s">
        <v>19</v>
      </c>
      <c r="H9">
        <v>1</v>
      </c>
      <c r="I9">
        <v>6</v>
      </c>
      <c r="J9" t="s">
        <v>329</v>
      </c>
      <c r="K9">
        <v>0.9</v>
      </c>
      <c r="L9">
        <v>4</v>
      </c>
      <c r="M9">
        <v>37</v>
      </c>
      <c r="N9" s="2">
        <v>51500</v>
      </c>
      <c r="P9" s="1"/>
      <c r="Q9" s="1"/>
    </row>
    <row r="10" spans="1:17" x14ac:dyDescent="0.25">
      <c r="A10" s="1">
        <v>44783</v>
      </c>
      <c r="B10" t="s">
        <v>203</v>
      </c>
      <c r="C10" t="s">
        <v>238</v>
      </c>
      <c r="D10" t="s">
        <v>239</v>
      </c>
      <c r="E10" t="s">
        <v>92</v>
      </c>
      <c r="F10" t="s">
        <v>44</v>
      </c>
      <c r="G10" t="s">
        <v>19</v>
      </c>
      <c r="H10">
        <v>0</v>
      </c>
      <c r="I10">
        <v>2</v>
      </c>
      <c r="J10" t="s">
        <v>342</v>
      </c>
      <c r="M10">
        <v>42</v>
      </c>
      <c r="N10" s="2">
        <v>31042</v>
      </c>
      <c r="P10" s="1"/>
      <c r="Q10" s="1"/>
    </row>
    <row r="11" spans="1:17" x14ac:dyDescent="0.25">
      <c r="A11" s="1">
        <v>44786</v>
      </c>
      <c r="B11" t="s">
        <v>303</v>
      </c>
      <c r="C11" t="s">
        <v>307</v>
      </c>
      <c r="D11" t="s">
        <v>61</v>
      </c>
      <c r="E11" t="s">
        <v>64</v>
      </c>
      <c r="F11" t="s">
        <v>44</v>
      </c>
      <c r="G11" t="s">
        <v>4</v>
      </c>
      <c r="H11">
        <v>1</v>
      </c>
      <c r="I11">
        <v>1</v>
      </c>
      <c r="J11" t="s">
        <v>343</v>
      </c>
      <c r="K11">
        <v>1.6</v>
      </c>
      <c r="L11">
        <v>1.7</v>
      </c>
      <c r="M11">
        <v>61</v>
      </c>
      <c r="N11" s="2">
        <v>45000</v>
      </c>
      <c r="P11" s="1"/>
      <c r="Q11" s="1"/>
    </row>
    <row r="12" spans="1:17" x14ac:dyDescent="0.25">
      <c r="A12" s="1">
        <v>44794</v>
      </c>
      <c r="B12" t="s">
        <v>303</v>
      </c>
      <c r="C12" t="s">
        <v>307</v>
      </c>
      <c r="D12" t="s">
        <v>63</v>
      </c>
      <c r="E12" t="s">
        <v>62</v>
      </c>
      <c r="F12" t="s">
        <v>43</v>
      </c>
      <c r="G12" t="s">
        <v>4</v>
      </c>
      <c r="H12">
        <v>1</v>
      </c>
      <c r="I12">
        <v>1</v>
      </c>
      <c r="J12" t="s">
        <v>312</v>
      </c>
      <c r="K12">
        <v>0.9</v>
      </c>
      <c r="L12">
        <v>0.3</v>
      </c>
      <c r="M12">
        <v>54</v>
      </c>
      <c r="N12" s="2">
        <v>50800</v>
      </c>
    </row>
    <row r="13" spans="1:17" x14ac:dyDescent="0.25">
      <c r="A13" s="1">
        <v>44801</v>
      </c>
      <c r="B13" t="s">
        <v>243</v>
      </c>
      <c r="C13" t="s">
        <v>307</v>
      </c>
      <c r="D13" t="s">
        <v>66</v>
      </c>
      <c r="E13" t="s">
        <v>62</v>
      </c>
      <c r="F13" t="s">
        <v>44</v>
      </c>
      <c r="G13" t="s">
        <v>18</v>
      </c>
      <c r="H13">
        <v>4</v>
      </c>
      <c r="I13">
        <v>3</v>
      </c>
      <c r="J13" t="s">
        <v>325</v>
      </c>
      <c r="K13">
        <v>1.8</v>
      </c>
      <c r="L13">
        <v>1.8</v>
      </c>
      <c r="M13">
        <v>46</v>
      </c>
      <c r="N13" s="2">
        <v>41000</v>
      </c>
      <c r="Q13" s="1"/>
    </row>
    <row r="14" spans="1:17" x14ac:dyDescent="0.25">
      <c r="A14" s="1">
        <v>44807</v>
      </c>
      <c r="B14" t="s">
        <v>157</v>
      </c>
      <c r="C14" t="s">
        <v>307</v>
      </c>
      <c r="D14" t="s">
        <v>68</v>
      </c>
      <c r="E14" t="s">
        <v>64</v>
      </c>
      <c r="F14" t="s">
        <v>43</v>
      </c>
      <c r="G14" t="s">
        <v>18</v>
      </c>
      <c r="H14">
        <v>4</v>
      </c>
      <c r="I14">
        <v>0</v>
      </c>
      <c r="J14" t="s">
        <v>333</v>
      </c>
      <c r="K14">
        <v>3.1</v>
      </c>
      <c r="L14">
        <v>0.2</v>
      </c>
      <c r="M14">
        <v>44</v>
      </c>
      <c r="N14" s="2">
        <v>49700</v>
      </c>
    </row>
    <row r="15" spans="1:17" x14ac:dyDescent="0.25">
      <c r="A15" s="1">
        <v>44811</v>
      </c>
      <c r="B15" t="s">
        <v>251</v>
      </c>
      <c r="C15" t="s">
        <v>118</v>
      </c>
      <c r="D15" t="s">
        <v>119</v>
      </c>
      <c r="E15" t="s">
        <v>92</v>
      </c>
      <c r="F15" t="s">
        <v>43</v>
      </c>
      <c r="G15" t="s">
        <v>19</v>
      </c>
      <c r="H15">
        <v>0</v>
      </c>
      <c r="I15">
        <v>3</v>
      </c>
      <c r="J15" t="s">
        <v>344</v>
      </c>
      <c r="K15">
        <v>0.8</v>
      </c>
      <c r="L15">
        <v>0.9</v>
      </c>
      <c r="M15">
        <v>45</v>
      </c>
      <c r="N15" s="2">
        <v>50500</v>
      </c>
      <c r="Q15" s="1"/>
    </row>
    <row r="16" spans="1:17" x14ac:dyDescent="0.25">
      <c r="A16" s="1">
        <v>44814</v>
      </c>
      <c r="B16" t="s">
        <v>303</v>
      </c>
      <c r="C16" t="s">
        <v>307</v>
      </c>
      <c r="D16" t="s">
        <v>71</v>
      </c>
      <c r="E16" t="s">
        <v>64</v>
      </c>
      <c r="F16" t="s">
        <v>43</v>
      </c>
      <c r="G16" t="s">
        <v>19</v>
      </c>
      <c r="H16">
        <v>0</v>
      </c>
      <c r="I16">
        <v>1</v>
      </c>
      <c r="J16" t="s">
        <v>316</v>
      </c>
      <c r="K16">
        <v>0.7</v>
      </c>
      <c r="L16">
        <v>1</v>
      </c>
      <c r="M16">
        <v>62</v>
      </c>
      <c r="N16" s="2">
        <v>49000</v>
      </c>
      <c r="Q16" s="1"/>
    </row>
    <row r="17" spans="1:17" x14ac:dyDescent="0.25">
      <c r="A17" s="1">
        <v>44817</v>
      </c>
      <c r="B17" t="s">
        <v>181</v>
      </c>
      <c r="C17" t="s">
        <v>118</v>
      </c>
      <c r="D17" t="s">
        <v>119</v>
      </c>
      <c r="E17" t="s">
        <v>69</v>
      </c>
      <c r="F17" t="s">
        <v>44</v>
      </c>
      <c r="G17" t="s">
        <v>18</v>
      </c>
      <c r="H17">
        <v>1</v>
      </c>
      <c r="I17">
        <v>0</v>
      </c>
      <c r="J17" t="s">
        <v>345</v>
      </c>
      <c r="K17">
        <v>1.2</v>
      </c>
      <c r="L17">
        <v>0.9</v>
      </c>
      <c r="M17">
        <v>39</v>
      </c>
      <c r="N17" s="2">
        <v>62500</v>
      </c>
      <c r="P17" s="1"/>
      <c r="Q17" s="1"/>
    </row>
    <row r="18" spans="1:17" x14ac:dyDescent="0.25">
      <c r="A18" s="1">
        <v>44821</v>
      </c>
      <c r="B18" t="s">
        <v>303</v>
      </c>
      <c r="C18" t="s">
        <v>307</v>
      </c>
      <c r="D18" t="s">
        <v>72</v>
      </c>
      <c r="E18" t="s">
        <v>64</v>
      </c>
      <c r="F18" t="s">
        <v>44</v>
      </c>
      <c r="G18" t="s">
        <v>18</v>
      </c>
      <c r="H18">
        <v>3</v>
      </c>
      <c r="I18">
        <v>1</v>
      </c>
      <c r="J18" t="s">
        <v>326</v>
      </c>
      <c r="K18">
        <v>1</v>
      </c>
      <c r="L18">
        <v>1</v>
      </c>
      <c r="M18">
        <v>44</v>
      </c>
      <c r="N18" s="2">
        <v>47500</v>
      </c>
      <c r="P18" s="1"/>
      <c r="Q18" s="1"/>
    </row>
    <row r="19" spans="1:17" x14ac:dyDescent="0.25">
      <c r="A19" s="1">
        <v>44835</v>
      </c>
      <c r="B19" t="s">
        <v>303</v>
      </c>
      <c r="C19" t="s">
        <v>307</v>
      </c>
      <c r="D19" t="s">
        <v>74</v>
      </c>
      <c r="E19" t="s">
        <v>64</v>
      </c>
      <c r="F19" t="s">
        <v>43</v>
      </c>
      <c r="G19" t="s">
        <v>18</v>
      </c>
      <c r="H19">
        <v>2</v>
      </c>
      <c r="I19">
        <v>0</v>
      </c>
      <c r="J19" t="s">
        <v>323</v>
      </c>
      <c r="K19">
        <v>0.8</v>
      </c>
      <c r="L19">
        <v>1</v>
      </c>
      <c r="M19">
        <v>47</v>
      </c>
      <c r="N19" s="2">
        <v>50500</v>
      </c>
      <c r="P19" s="1"/>
      <c r="Q19" s="1"/>
    </row>
    <row r="20" spans="1:17" x14ac:dyDescent="0.25">
      <c r="A20" s="1">
        <v>44838</v>
      </c>
      <c r="B20" t="s">
        <v>181</v>
      </c>
      <c r="C20" t="s">
        <v>118</v>
      </c>
      <c r="D20" t="s">
        <v>119</v>
      </c>
      <c r="E20" t="s">
        <v>69</v>
      </c>
      <c r="F20" t="s">
        <v>43</v>
      </c>
      <c r="G20" t="s">
        <v>4</v>
      </c>
      <c r="H20">
        <v>0</v>
      </c>
      <c r="I20">
        <v>0</v>
      </c>
      <c r="J20" t="s">
        <v>346</v>
      </c>
      <c r="K20">
        <v>1</v>
      </c>
      <c r="L20">
        <v>1.5</v>
      </c>
      <c r="M20">
        <v>44</v>
      </c>
      <c r="N20" s="2">
        <v>50500</v>
      </c>
      <c r="P20" s="1"/>
      <c r="Q20" s="1"/>
    </row>
    <row r="21" spans="1:17" x14ac:dyDescent="0.25">
      <c r="A21" s="1">
        <v>44842</v>
      </c>
      <c r="B21" t="s">
        <v>303</v>
      </c>
      <c r="C21" t="s">
        <v>307</v>
      </c>
      <c r="D21" t="s">
        <v>75</v>
      </c>
      <c r="E21" t="s">
        <v>64</v>
      </c>
      <c r="F21" t="s">
        <v>44</v>
      </c>
      <c r="G21" t="s">
        <v>19</v>
      </c>
      <c r="H21">
        <v>0</v>
      </c>
      <c r="I21">
        <v>3</v>
      </c>
      <c r="J21" t="s">
        <v>313</v>
      </c>
      <c r="K21">
        <v>0.9</v>
      </c>
      <c r="L21">
        <v>0.6</v>
      </c>
      <c r="M21">
        <v>54</v>
      </c>
      <c r="N21" s="2">
        <v>24850</v>
      </c>
    </row>
    <row r="22" spans="1:17" x14ac:dyDescent="0.25">
      <c r="A22" s="1">
        <v>44846</v>
      </c>
      <c r="B22" t="s">
        <v>161</v>
      </c>
      <c r="C22" t="s">
        <v>118</v>
      </c>
      <c r="D22" t="s">
        <v>119</v>
      </c>
      <c r="E22" t="s">
        <v>92</v>
      </c>
      <c r="F22" t="s">
        <v>44</v>
      </c>
      <c r="G22" t="s">
        <v>19</v>
      </c>
      <c r="H22">
        <v>2</v>
      </c>
      <c r="I22">
        <v>3</v>
      </c>
      <c r="J22" t="s">
        <v>346</v>
      </c>
      <c r="K22">
        <v>1.2</v>
      </c>
      <c r="L22">
        <v>3</v>
      </c>
      <c r="M22">
        <v>49</v>
      </c>
      <c r="N22" s="2">
        <v>55180</v>
      </c>
      <c r="P22" s="1"/>
      <c r="Q22" s="1"/>
    </row>
    <row r="23" spans="1:17" x14ac:dyDescent="0.25">
      <c r="A23" s="1">
        <v>44849</v>
      </c>
      <c r="B23" t="s">
        <v>303</v>
      </c>
      <c r="C23" t="s">
        <v>307</v>
      </c>
      <c r="D23" t="s">
        <v>79</v>
      </c>
      <c r="E23" t="s">
        <v>64</v>
      </c>
      <c r="F23" t="s">
        <v>43</v>
      </c>
      <c r="G23" t="s">
        <v>18</v>
      </c>
      <c r="H23">
        <v>5</v>
      </c>
      <c r="I23">
        <v>1</v>
      </c>
      <c r="J23" t="s">
        <v>331</v>
      </c>
      <c r="K23">
        <v>3.9</v>
      </c>
      <c r="L23">
        <v>0.4</v>
      </c>
      <c r="M23">
        <v>49</v>
      </c>
      <c r="N23" s="2">
        <v>49700</v>
      </c>
      <c r="P23" s="1"/>
      <c r="Q23" s="1"/>
    </row>
    <row r="24" spans="1:17" x14ac:dyDescent="0.25">
      <c r="A24" s="1">
        <v>44852</v>
      </c>
      <c r="B24" t="s">
        <v>209</v>
      </c>
      <c r="C24" t="s">
        <v>304</v>
      </c>
      <c r="D24" t="s">
        <v>77</v>
      </c>
      <c r="E24" t="s">
        <v>69</v>
      </c>
      <c r="F24" t="s">
        <v>44</v>
      </c>
      <c r="G24" t="s">
        <v>18</v>
      </c>
      <c r="H24">
        <v>2</v>
      </c>
      <c r="I24">
        <v>0</v>
      </c>
      <c r="J24" t="s">
        <v>347</v>
      </c>
      <c r="M24">
        <v>63</v>
      </c>
      <c r="N24" s="2">
        <v>10000</v>
      </c>
      <c r="P24" s="1"/>
      <c r="Q24" s="1"/>
    </row>
    <row r="25" spans="1:17" x14ac:dyDescent="0.25">
      <c r="A25" s="1">
        <v>44856</v>
      </c>
      <c r="B25" t="s">
        <v>157</v>
      </c>
      <c r="C25" t="s">
        <v>307</v>
      </c>
      <c r="D25" t="s">
        <v>81</v>
      </c>
      <c r="E25" t="s">
        <v>64</v>
      </c>
      <c r="F25" t="s">
        <v>44</v>
      </c>
      <c r="G25" t="s">
        <v>18</v>
      </c>
      <c r="H25">
        <v>3</v>
      </c>
      <c r="I25">
        <v>1</v>
      </c>
      <c r="J25" t="s">
        <v>332</v>
      </c>
      <c r="K25">
        <v>1.9</v>
      </c>
      <c r="L25">
        <v>1</v>
      </c>
      <c r="M25">
        <v>40</v>
      </c>
      <c r="N25" s="2">
        <v>53019</v>
      </c>
      <c r="P25" s="1"/>
    </row>
    <row r="26" spans="1:17" x14ac:dyDescent="0.25">
      <c r="A26" s="1">
        <v>44860</v>
      </c>
      <c r="B26" t="s">
        <v>181</v>
      </c>
      <c r="C26" t="s">
        <v>118</v>
      </c>
      <c r="D26" t="s">
        <v>119</v>
      </c>
      <c r="E26" t="s">
        <v>92</v>
      </c>
      <c r="F26" t="s">
        <v>43</v>
      </c>
      <c r="G26" t="s">
        <v>18</v>
      </c>
      <c r="H26">
        <v>2</v>
      </c>
      <c r="I26">
        <v>1</v>
      </c>
      <c r="J26" t="s">
        <v>345</v>
      </c>
      <c r="K26">
        <v>1.1000000000000001</v>
      </c>
      <c r="L26">
        <v>0.7</v>
      </c>
      <c r="M26">
        <v>44</v>
      </c>
      <c r="N26" s="2">
        <v>48700</v>
      </c>
      <c r="P26" s="1"/>
      <c r="Q26" s="1"/>
    </row>
    <row r="27" spans="1:17" x14ac:dyDescent="0.25">
      <c r="A27" s="1">
        <v>44863</v>
      </c>
      <c r="B27" t="s">
        <v>157</v>
      </c>
      <c r="C27" t="s">
        <v>307</v>
      </c>
      <c r="D27" t="s">
        <v>83</v>
      </c>
      <c r="E27" t="s">
        <v>64</v>
      </c>
      <c r="F27" t="s">
        <v>43</v>
      </c>
      <c r="G27" t="s">
        <v>19</v>
      </c>
      <c r="H27">
        <v>1</v>
      </c>
      <c r="I27">
        <v>2</v>
      </c>
      <c r="J27" t="s">
        <v>321</v>
      </c>
      <c r="K27">
        <v>1.9</v>
      </c>
      <c r="L27">
        <v>0.6</v>
      </c>
      <c r="M27">
        <v>58</v>
      </c>
      <c r="N27" s="2">
        <v>50000</v>
      </c>
      <c r="P27" s="1"/>
    </row>
    <row r="28" spans="1:17" x14ac:dyDescent="0.25">
      <c r="A28" s="1">
        <v>44866</v>
      </c>
      <c r="B28" t="s">
        <v>264</v>
      </c>
      <c r="C28" t="s">
        <v>118</v>
      </c>
      <c r="D28" t="s">
        <v>119</v>
      </c>
      <c r="E28" t="s">
        <v>69</v>
      </c>
      <c r="F28" t="s">
        <v>44</v>
      </c>
      <c r="G28" t="s">
        <v>18</v>
      </c>
      <c r="H28">
        <v>2</v>
      </c>
      <c r="I28">
        <v>1</v>
      </c>
      <c r="J28" t="s">
        <v>344</v>
      </c>
      <c r="K28">
        <v>1.2</v>
      </c>
      <c r="L28">
        <v>0.5</v>
      </c>
      <c r="M28">
        <v>54</v>
      </c>
      <c r="N28" s="2">
        <v>41744</v>
      </c>
      <c r="P28" s="1"/>
      <c r="Q28" s="1"/>
    </row>
    <row r="29" spans="1:17" x14ac:dyDescent="0.25">
      <c r="A29" s="1">
        <v>44870</v>
      </c>
      <c r="B29" t="s">
        <v>287</v>
      </c>
      <c r="C29" t="s">
        <v>307</v>
      </c>
      <c r="D29" t="s">
        <v>84</v>
      </c>
      <c r="E29" t="s">
        <v>64</v>
      </c>
      <c r="F29" t="s">
        <v>44</v>
      </c>
      <c r="G29" t="s">
        <v>18</v>
      </c>
      <c r="H29">
        <v>2</v>
      </c>
      <c r="I29">
        <v>1</v>
      </c>
      <c r="J29" t="s">
        <v>327</v>
      </c>
      <c r="K29">
        <v>1.2</v>
      </c>
      <c r="L29">
        <v>1.2</v>
      </c>
      <c r="M29">
        <v>58</v>
      </c>
      <c r="N29" s="2">
        <v>30087</v>
      </c>
      <c r="P29" s="1"/>
    </row>
    <row r="30" spans="1:17" x14ac:dyDescent="0.25">
      <c r="A30" s="1">
        <v>44874</v>
      </c>
      <c r="B30" t="s">
        <v>158</v>
      </c>
      <c r="C30" t="s">
        <v>307</v>
      </c>
      <c r="D30" t="s">
        <v>86</v>
      </c>
      <c r="E30" t="s">
        <v>92</v>
      </c>
      <c r="F30" t="s">
        <v>43</v>
      </c>
      <c r="G30" t="s">
        <v>18</v>
      </c>
      <c r="H30">
        <v>4</v>
      </c>
      <c r="I30">
        <v>2</v>
      </c>
      <c r="J30" t="s">
        <v>319</v>
      </c>
      <c r="K30">
        <v>2.8</v>
      </c>
      <c r="L30">
        <v>1.8</v>
      </c>
      <c r="M30">
        <v>51</v>
      </c>
      <c r="N30" s="2">
        <v>49000</v>
      </c>
      <c r="P30" s="1"/>
      <c r="Q30" s="1"/>
    </row>
    <row r="31" spans="1:17" x14ac:dyDescent="0.25">
      <c r="A31" s="1">
        <v>44878</v>
      </c>
      <c r="B31" t="s">
        <v>303</v>
      </c>
      <c r="C31" t="s">
        <v>307</v>
      </c>
      <c r="D31" t="s">
        <v>87</v>
      </c>
      <c r="E31" t="s">
        <v>62</v>
      </c>
      <c r="F31" t="s">
        <v>44</v>
      </c>
      <c r="G31" t="s">
        <v>4</v>
      </c>
      <c r="H31">
        <v>1</v>
      </c>
      <c r="I31">
        <v>1</v>
      </c>
      <c r="J31" t="s">
        <v>311</v>
      </c>
      <c r="K31">
        <v>1.8</v>
      </c>
      <c r="L31">
        <v>1.5</v>
      </c>
      <c r="M31">
        <v>60</v>
      </c>
      <c r="N31" s="2">
        <v>33305</v>
      </c>
      <c r="P31" s="1"/>
      <c r="Q31" s="1"/>
    </row>
    <row r="32" spans="1:17" x14ac:dyDescent="0.25">
      <c r="A32" s="1">
        <v>44947</v>
      </c>
      <c r="B32" t="s">
        <v>303</v>
      </c>
      <c r="C32" t="s">
        <v>307</v>
      </c>
      <c r="D32" t="s">
        <v>88</v>
      </c>
      <c r="E32" t="s">
        <v>64</v>
      </c>
      <c r="F32" t="s">
        <v>43</v>
      </c>
      <c r="G32" t="s">
        <v>18</v>
      </c>
      <c r="H32">
        <v>3</v>
      </c>
      <c r="I32">
        <v>0</v>
      </c>
      <c r="J32" t="s">
        <v>348</v>
      </c>
      <c r="K32">
        <v>1.2</v>
      </c>
      <c r="L32">
        <v>1.8</v>
      </c>
      <c r="M32">
        <v>43</v>
      </c>
      <c r="N32" s="2">
        <v>50000</v>
      </c>
      <c r="P32" s="1"/>
    </row>
    <row r="33" spans="1:17" x14ac:dyDescent="0.25">
      <c r="A33" s="1">
        <v>44951</v>
      </c>
      <c r="B33" t="s">
        <v>158</v>
      </c>
      <c r="C33" t="s">
        <v>307</v>
      </c>
      <c r="D33" t="s">
        <v>90</v>
      </c>
      <c r="E33" t="s">
        <v>92</v>
      </c>
      <c r="F33" t="s">
        <v>44</v>
      </c>
      <c r="G33" t="s">
        <v>4</v>
      </c>
      <c r="H33">
        <v>1</v>
      </c>
      <c r="I33">
        <v>1</v>
      </c>
      <c r="J33" t="s">
        <v>315</v>
      </c>
      <c r="K33">
        <v>0.2</v>
      </c>
      <c r="L33">
        <v>1.9</v>
      </c>
      <c r="M33">
        <v>56</v>
      </c>
      <c r="N33" s="2">
        <v>34700</v>
      </c>
      <c r="P33" s="1"/>
      <c r="Q33" s="1"/>
    </row>
    <row r="34" spans="1:17" x14ac:dyDescent="0.25">
      <c r="A34" s="1">
        <v>44954</v>
      </c>
      <c r="B34" t="s">
        <v>157</v>
      </c>
      <c r="C34" t="s">
        <v>307</v>
      </c>
      <c r="D34" t="s">
        <v>93</v>
      </c>
      <c r="E34" t="s">
        <v>64</v>
      </c>
      <c r="F34" t="s">
        <v>44</v>
      </c>
      <c r="G34" t="s">
        <v>4</v>
      </c>
      <c r="H34">
        <v>1</v>
      </c>
      <c r="I34">
        <v>1</v>
      </c>
      <c r="J34" t="s">
        <v>329</v>
      </c>
      <c r="K34">
        <v>0.6</v>
      </c>
      <c r="L34">
        <v>1.6</v>
      </c>
      <c r="M34">
        <v>33</v>
      </c>
      <c r="N34" s="2">
        <v>75000</v>
      </c>
      <c r="P34" s="1"/>
    </row>
    <row r="35" spans="1:17" x14ac:dyDescent="0.25">
      <c r="A35" s="1">
        <v>44961</v>
      </c>
      <c r="B35" t="s">
        <v>303</v>
      </c>
      <c r="C35" t="s">
        <v>307</v>
      </c>
      <c r="D35" t="s">
        <v>94</v>
      </c>
      <c r="E35" t="s">
        <v>64</v>
      </c>
      <c r="F35" t="s">
        <v>43</v>
      </c>
      <c r="G35" t="s">
        <v>18</v>
      </c>
      <c r="H35">
        <v>3</v>
      </c>
      <c r="I35">
        <v>0</v>
      </c>
      <c r="J35" t="s">
        <v>343</v>
      </c>
      <c r="K35">
        <v>2.2000000000000002</v>
      </c>
      <c r="L35">
        <v>0.9</v>
      </c>
      <c r="M35">
        <v>62</v>
      </c>
      <c r="N35" s="2">
        <v>49500</v>
      </c>
      <c r="P35" s="1"/>
    </row>
    <row r="36" spans="1:17" x14ac:dyDescent="0.25">
      <c r="A36" s="1">
        <v>44964</v>
      </c>
      <c r="B36" t="s">
        <v>156</v>
      </c>
      <c r="C36" t="s">
        <v>304</v>
      </c>
      <c r="D36" t="s">
        <v>91</v>
      </c>
      <c r="E36" t="s">
        <v>69</v>
      </c>
      <c r="F36" t="s">
        <v>43</v>
      </c>
      <c r="G36" t="s">
        <v>18</v>
      </c>
      <c r="H36">
        <v>4</v>
      </c>
      <c r="I36">
        <v>2</v>
      </c>
      <c r="J36" t="s">
        <v>308</v>
      </c>
      <c r="M36">
        <v>60</v>
      </c>
      <c r="N36" s="2">
        <v>49500</v>
      </c>
      <c r="P36" s="1"/>
      <c r="Q36" s="1"/>
    </row>
    <row r="37" spans="1:17" x14ac:dyDescent="0.25">
      <c r="A37" s="1">
        <v>44969</v>
      </c>
      <c r="B37" t="s">
        <v>243</v>
      </c>
      <c r="C37" t="s">
        <v>307</v>
      </c>
      <c r="D37" t="s">
        <v>97</v>
      </c>
      <c r="E37" t="s">
        <v>62</v>
      </c>
      <c r="F37" t="s">
        <v>44</v>
      </c>
      <c r="G37" t="s">
        <v>19</v>
      </c>
      <c r="H37">
        <v>0</v>
      </c>
      <c r="I37">
        <v>3</v>
      </c>
      <c r="J37" t="s">
        <v>312</v>
      </c>
      <c r="K37">
        <v>0.3</v>
      </c>
      <c r="L37">
        <v>1.2</v>
      </c>
      <c r="M37">
        <v>57</v>
      </c>
      <c r="N37" s="2">
        <v>50000</v>
      </c>
      <c r="P37" s="1"/>
    </row>
    <row r="38" spans="1:17" x14ac:dyDescent="0.25">
      <c r="A38" t="s">
        <v>0</v>
      </c>
      <c r="B38" t="s">
        <v>1</v>
      </c>
      <c r="C38" t="s">
        <v>16</v>
      </c>
      <c r="D38" t="s">
        <v>51</v>
      </c>
      <c r="E38" t="s">
        <v>52</v>
      </c>
      <c r="F38" t="s">
        <v>53</v>
      </c>
      <c r="G38" t="s">
        <v>54</v>
      </c>
      <c r="H38" t="s">
        <v>20</v>
      </c>
      <c r="I38" t="s">
        <v>21</v>
      </c>
      <c r="J38" t="s">
        <v>45</v>
      </c>
      <c r="K38" t="s">
        <v>55</v>
      </c>
      <c r="L38" t="s">
        <v>56</v>
      </c>
      <c r="M38" t="s">
        <v>57</v>
      </c>
      <c r="N38" t="s">
        <v>24</v>
      </c>
    </row>
    <row r="39" spans="1:17" x14ac:dyDescent="0.25">
      <c r="A39" s="1">
        <v>44975</v>
      </c>
      <c r="B39" t="s">
        <v>157</v>
      </c>
      <c r="C39" t="s">
        <v>307</v>
      </c>
      <c r="D39" t="s">
        <v>98</v>
      </c>
      <c r="E39" t="s">
        <v>64</v>
      </c>
      <c r="F39" t="s">
        <v>43</v>
      </c>
      <c r="G39" t="s">
        <v>18</v>
      </c>
      <c r="H39">
        <v>2</v>
      </c>
      <c r="I39">
        <v>0</v>
      </c>
      <c r="J39" t="s">
        <v>325</v>
      </c>
      <c r="K39">
        <v>2.1</v>
      </c>
      <c r="L39">
        <v>0.3</v>
      </c>
      <c r="M39">
        <v>45</v>
      </c>
      <c r="N39" s="2">
        <v>50000</v>
      </c>
      <c r="P39" s="1"/>
    </row>
    <row r="40" spans="1:17" x14ac:dyDescent="0.25">
      <c r="A40" s="1">
        <v>44978</v>
      </c>
      <c r="B40" t="s">
        <v>181</v>
      </c>
      <c r="C40" t="s">
        <v>118</v>
      </c>
      <c r="D40" t="s">
        <v>91</v>
      </c>
      <c r="E40" t="s">
        <v>69</v>
      </c>
      <c r="F40" t="s">
        <v>43</v>
      </c>
      <c r="G40" t="s">
        <v>19</v>
      </c>
      <c r="H40">
        <v>0</v>
      </c>
      <c r="I40">
        <v>2</v>
      </c>
      <c r="J40" t="s">
        <v>349</v>
      </c>
      <c r="K40">
        <v>0.4</v>
      </c>
      <c r="L40">
        <v>2.8</v>
      </c>
      <c r="M40">
        <v>31</v>
      </c>
      <c r="N40" s="2">
        <v>47500</v>
      </c>
      <c r="P40" s="1"/>
      <c r="Q40" s="1"/>
    </row>
    <row r="41" spans="1:17" x14ac:dyDescent="0.25">
      <c r="A41" s="1">
        <v>44982</v>
      </c>
      <c r="B41" t="s">
        <v>303</v>
      </c>
      <c r="C41" t="s">
        <v>307</v>
      </c>
      <c r="D41" t="s">
        <v>100</v>
      </c>
      <c r="E41" t="s">
        <v>64</v>
      </c>
      <c r="F41" t="s">
        <v>44</v>
      </c>
      <c r="G41" t="s">
        <v>19</v>
      </c>
      <c r="H41">
        <v>1</v>
      </c>
      <c r="I41">
        <v>2</v>
      </c>
      <c r="J41" t="s">
        <v>333</v>
      </c>
      <c r="K41">
        <v>0.8</v>
      </c>
      <c r="L41">
        <v>1.7</v>
      </c>
      <c r="M41">
        <v>47</v>
      </c>
      <c r="N41" s="2">
        <v>47069</v>
      </c>
      <c r="P41" s="1"/>
    </row>
    <row r="42" spans="1:17" x14ac:dyDescent="0.25">
      <c r="A42" s="1">
        <v>44990</v>
      </c>
      <c r="B42" t="s">
        <v>243</v>
      </c>
      <c r="C42" t="s">
        <v>307</v>
      </c>
      <c r="D42" t="s">
        <v>101</v>
      </c>
      <c r="E42" t="s">
        <v>62</v>
      </c>
      <c r="F42" t="s">
        <v>44</v>
      </c>
      <c r="G42" t="s">
        <v>4</v>
      </c>
      <c r="H42">
        <v>2</v>
      </c>
      <c r="I42">
        <v>2</v>
      </c>
      <c r="J42" t="s">
        <v>316</v>
      </c>
      <c r="K42">
        <v>0.6</v>
      </c>
      <c r="L42">
        <v>1.9</v>
      </c>
      <c r="M42">
        <v>48</v>
      </c>
      <c r="N42" s="2">
        <v>27853</v>
      </c>
      <c r="P42" s="1"/>
      <c r="Q42" s="1"/>
    </row>
    <row r="43" spans="1:17" x14ac:dyDescent="0.25">
      <c r="A43" s="1">
        <v>44996</v>
      </c>
      <c r="B43" t="s">
        <v>303</v>
      </c>
      <c r="C43" t="s">
        <v>307</v>
      </c>
      <c r="D43" t="s">
        <v>102</v>
      </c>
      <c r="E43" t="s">
        <v>64</v>
      </c>
      <c r="F43" t="s">
        <v>43</v>
      </c>
      <c r="G43" t="s">
        <v>4</v>
      </c>
      <c r="H43">
        <v>1</v>
      </c>
      <c r="I43">
        <v>1</v>
      </c>
      <c r="J43" t="s">
        <v>326</v>
      </c>
      <c r="K43">
        <v>0.7</v>
      </c>
      <c r="L43">
        <v>0.8</v>
      </c>
      <c r="M43">
        <v>52</v>
      </c>
      <c r="N43" s="2">
        <v>50000</v>
      </c>
      <c r="P43" s="1"/>
      <c r="Q43" s="1"/>
    </row>
    <row r="44" spans="1:17" x14ac:dyDescent="0.25">
      <c r="A44" s="1">
        <v>45000</v>
      </c>
      <c r="B44" t="s">
        <v>198</v>
      </c>
      <c r="C44" t="s">
        <v>118</v>
      </c>
      <c r="D44" t="s">
        <v>91</v>
      </c>
      <c r="E44" t="s">
        <v>92</v>
      </c>
      <c r="F44" t="s">
        <v>44</v>
      </c>
      <c r="G44" t="s">
        <v>19</v>
      </c>
      <c r="H44">
        <v>0</v>
      </c>
      <c r="I44">
        <v>3</v>
      </c>
      <c r="J44" t="s">
        <v>349</v>
      </c>
      <c r="K44">
        <v>1.1000000000000001</v>
      </c>
      <c r="L44">
        <v>2.7</v>
      </c>
      <c r="M44">
        <v>40</v>
      </c>
      <c r="N44" s="2">
        <v>49082</v>
      </c>
      <c r="Q44" s="1"/>
    </row>
    <row r="45" spans="1:17" x14ac:dyDescent="0.25">
      <c r="A45" s="1">
        <v>45004</v>
      </c>
      <c r="B45" t="s">
        <v>287</v>
      </c>
      <c r="C45" t="s">
        <v>307</v>
      </c>
      <c r="D45" t="s">
        <v>103</v>
      </c>
      <c r="E45" t="s">
        <v>62</v>
      </c>
      <c r="F45" t="s">
        <v>44</v>
      </c>
      <c r="G45" t="s">
        <v>19</v>
      </c>
      <c r="H45">
        <v>0</v>
      </c>
      <c r="I45">
        <v>2</v>
      </c>
      <c r="J45" t="s">
        <v>323</v>
      </c>
      <c r="K45">
        <v>2.7</v>
      </c>
      <c r="L45">
        <v>1.3</v>
      </c>
      <c r="M45">
        <v>63</v>
      </c>
      <c r="N45" s="2">
        <v>22012</v>
      </c>
      <c r="P45" s="1"/>
      <c r="Q45" s="1"/>
    </row>
    <row r="46" spans="1:17" x14ac:dyDescent="0.25">
      <c r="A46" s="1">
        <v>45016</v>
      </c>
      <c r="B46" t="s">
        <v>158</v>
      </c>
      <c r="C46" t="s">
        <v>307</v>
      </c>
      <c r="D46" t="s">
        <v>104</v>
      </c>
      <c r="E46" t="s">
        <v>60</v>
      </c>
      <c r="F46" t="s">
        <v>43</v>
      </c>
      <c r="G46" t="s">
        <v>4</v>
      </c>
      <c r="H46">
        <v>1</v>
      </c>
      <c r="I46">
        <v>1</v>
      </c>
      <c r="J46" t="s">
        <v>313</v>
      </c>
      <c r="K46">
        <v>3.1</v>
      </c>
      <c r="L46">
        <v>1.1000000000000001</v>
      </c>
      <c r="M46">
        <v>73</v>
      </c>
      <c r="N46" s="2">
        <v>51500</v>
      </c>
      <c r="P46" s="1"/>
    </row>
    <row r="47" spans="1:17" x14ac:dyDescent="0.25">
      <c r="A47" s="1">
        <v>45020</v>
      </c>
      <c r="B47" t="s">
        <v>209</v>
      </c>
      <c r="C47" t="s">
        <v>304</v>
      </c>
      <c r="D47" t="s">
        <v>96</v>
      </c>
      <c r="E47" t="s">
        <v>69</v>
      </c>
      <c r="F47" t="s">
        <v>43</v>
      </c>
      <c r="G47" t="s">
        <v>18</v>
      </c>
      <c r="H47">
        <v>2</v>
      </c>
      <c r="I47">
        <v>0</v>
      </c>
      <c r="J47" t="s">
        <v>323</v>
      </c>
      <c r="M47">
        <v>61</v>
      </c>
      <c r="N47" s="2">
        <v>50000</v>
      </c>
      <c r="P47" s="1"/>
      <c r="Q47" s="1"/>
    </row>
    <row r="48" spans="1:17" x14ac:dyDescent="0.25">
      <c r="A48" s="1">
        <v>45024</v>
      </c>
      <c r="B48" t="s">
        <v>303</v>
      </c>
      <c r="C48" t="s">
        <v>307</v>
      </c>
      <c r="D48" t="s">
        <v>105</v>
      </c>
      <c r="E48" t="s">
        <v>64</v>
      </c>
      <c r="F48" t="s">
        <v>44</v>
      </c>
      <c r="G48" t="s">
        <v>19</v>
      </c>
      <c r="H48">
        <v>1</v>
      </c>
      <c r="I48">
        <v>3</v>
      </c>
      <c r="J48" t="s">
        <v>331</v>
      </c>
      <c r="K48">
        <v>0.9</v>
      </c>
      <c r="L48">
        <v>2.1</v>
      </c>
      <c r="M48">
        <v>57</v>
      </c>
      <c r="N48" s="2">
        <v>30210</v>
      </c>
      <c r="P48" s="1"/>
    </row>
    <row r="49" spans="1:17" x14ac:dyDescent="0.25">
      <c r="A49" s="1">
        <v>45031</v>
      </c>
      <c r="B49" t="s">
        <v>157</v>
      </c>
      <c r="C49" t="s">
        <v>307</v>
      </c>
      <c r="D49" t="s">
        <v>106</v>
      </c>
      <c r="E49" t="s">
        <v>64</v>
      </c>
      <c r="F49" t="s">
        <v>43</v>
      </c>
      <c r="G49" t="s">
        <v>4</v>
      </c>
      <c r="H49">
        <v>1</v>
      </c>
      <c r="I49">
        <v>1</v>
      </c>
      <c r="J49" t="s">
        <v>332</v>
      </c>
      <c r="K49">
        <v>2.2000000000000002</v>
      </c>
      <c r="L49">
        <v>1.2</v>
      </c>
      <c r="M49">
        <v>59</v>
      </c>
      <c r="N49" s="2">
        <v>50000</v>
      </c>
      <c r="P49" s="1"/>
    </row>
    <row r="50" spans="1:17" x14ac:dyDescent="0.25">
      <c r="A50" s="1">
        <v>45038</v>
      </c>
      <c r="B50" t="s">
        <v>157</v>
      </c>
      <c r="C50" t="s">
        <v>307</v>
      </c>
      <c r="D50" t="s">
        <v>107</v>
      </c>
      <c r="E50" t="s">
        <v>64</v>
      </c>
      <c r="F50" t="s">
        <v>44</v>
      </c>
      <c r="G50" t="s">
        <v>19</v>
      </c>
      <c r="H50">
        <v>0</v>
      </c>
      <c r="I50">
        <v>4</v>
      </c>
      <c r="J50" t="s">
        <v>321</v>
      </c>
      <c r="K50">
        <v>0.6</v>
      </c>
      <c r="L50">
        <v>1.1000000000000001</v>
      </c>
      <c r="M50">
        <v>45</v>
      </c>
      <c r="N50" s="2">
        <v>81365</v>
      </c>
      <c r="P50" s="1"/>
      <c r="Q50" s="1"/>
    </row>
    <row r="51" spans="1:17" x14ac:dyDescent="0.25">
      <c r="A51" s="1">
        <v>45045</v>
      </c>
      <c r="B51" t="s">
        <v>303</v>
      </c>
      <c r="C51" t="s">
        <v>307</v>
      </c>
      <c r="D51" t="s">
        <v>108</v>
      </c>
      <c r="E51" t="s">
        <v>64</v>
      </c>
      <c r="F51" t="s">
        <v>43</v>
      </c>
      <c r="G51" t="s">
        <v>4</v>
      </c>
      <c r="H51">
        <v>1</v>
      </c>
      <c r="I51">
        <v>1</v>
      </c>
      <c r="J51" t="s">
        <v>327</v>
      </c>
      <c r="K51">
        <v>0.6</v>
      </c>
      <c r="L51">
        <v>0.7</v>
      </c>
      <c r="M51">
        <v>59</v>
      </c>
      <c r="N51" s="2">
        <v>50000</v>
      </c>
      <c r="P51" s="1"/>
      <c r="Q51" s="1"/>
    </row>
    <row r="52" spans="1:17" x14ac:dyDescent="0.25">
      <c r="A52" s="1">
        <v>45049</v>
      </c>
      <c r="B52" t="s">
        <v>156</v>
      </c>
      <c r="C52" t="s">
        <v>304</v>
      </c>
      <c r="D52" t="s">
        <v>99</v>
      </c>
      <c r="E52" t="s">
        <v>92</v>
      </c>
      <c r="F52" t="s">
        <v>44</v>
      </c>
      <c r="G52" t="s">
        <v>18</v>
      </c>
      <c r="H52">
        <v>3</v>
      </c>
      <c r="I52">
        <v>2</v>
      </c>
      <c r="J52" t="s">
        <v>326</v>
      </c>
      <c r="M52">
        <v>46</v>
      </c>
      <c r="N52" s="2">
        <v>47500</v>
      </c>
      <c r="P52" s="1"/>
      <c r="Q52" s="1"/>
    </row>
    <row r="53" spans="1:17" x14ac:dyDescent="0.25">
      <c r="A53" s="1">
        <v>45052</v>
      </c>
      <c r="B53" t="s">
        <v>303</v>
      </c>
      <c r="C53" t="s">
        <v>307</v>
      </c>
      <c r="D53" t="s">
        <v>109</v>
      </c>
      <c r="E53" t="s">
        <v>64</v>
      </c>
      <c r="F53" t="s">
        <v>44</v>
      </c>
      <c r="G53" t="s">
        <v>19</v>
      </c>
      <c r="H53">
        <v>1</v>
      </c>
      <c r="I53">
        <v>3</v>
      </c>
      <c r="J53" t="s">
        <v>319</v>
      </c>
      <c r="K53">
        <v>2.2000000000000002</v>
      </c>
      <c r="L53">
        <v>2.2000000000000002</v>
      </c>
      <c r="M53">
        <v>68</v>
      </c>
      <c r="N53" s="2">
        <v>30000</v>
      </c>
      <c r="P53" s="1"/>
      <c r="Q53" s="1"/>
    </row>
    <row r="54" spans="1:17" x14ac:dyDescent="0.25">
      <c r="A54" s="1">
        <v>45059</v>
      </c>
      <c r="B54" t="s">
        <v>303</v>
      </c>
      <c r="C54" t="s">
        <v>307</v>
      </c>
      <c r="D54" t="s">
        <v>110</v>
      </c>
      <c r="E54" t="s">
        <v>64</v>
      </c>
      <c r="F54" t="s">
        <v>43</v>
      </c>
      <c r="G54" t="s">
        <v>18</v>
      </c>
      <c r="H54">
        <v>3</v>
      </c>
      <c r="I54">
        <v>0</v>
      </c>
      <c r="J54" t="s">
        <v>311</v>
      </c>
      <c r="K54">
        <v>2.2000000000000002</v>
      </c>
      <c r="L54">
        <v>1</v>
      </c>
      <c r="M54">
        <v>55</v>
      </c>
      <c r="N54" s="2">
        <v>50000</v>
      </c>
      <c r="P54" s="1"/>
      <c r="Q54" s="1"/>
    </row>
    <row r="55" spans="1:17" x14ac:dyDescent="0.25">
      <c r="A55" s="1">
        <v>45066</v>
      </c>
      <c r="B55" t="s">
        <v>303</v>
      </c>
      <c r="C55" t="s">
        <v>307</v>
      </c>
      <c r="D55" t="s">
        <v>111</v>
      </c>
      <c r="E55" t="s">
        <v>64</v>
      </c>
      <c r="F55" t="s">
        <v>44</v>
      </c>
      <c r="G55" t="s">
        <v>4</v>
      </c>
      <c r="H55">
        <v>2</v>
      </c>
      <c r="I55">
        <v>2</v>
      </c>
      <c r="J55" t="s">
        <v>348</v>
      </c>
      <c r="K55">
        <v>1.6</v>
      </c>
      <c r="L55">
        <v>1</v>
      </c>
      <c r="M55">
        <v>50</v>
      </c>
      <c r="N55" s="2">
        <v>61575</v>
      </c>
      <c r="P55" s="1"/>
    </row>
    <row r="56" spans="1:17" x14ac:dyDescent="0.25">
      <c r="A56" s="1">
        <v>45073</v>
      </c>
      <c r="B56" t="s">
        <v>303</v>
      </c>
      <c r="C56" t="s">
        <v>307</v>
      </c>
      <c r="D56" t="s">
        <v>112</v>
      </c>
      <c r="E56" t="s">
        <v>64</v>
      </c>
      <c r="F56" t="s">
        <v>43</v>
      </c>
      <c r="G56" t="s">
        <v>18</v>
      </c>
      <c r="H56">
        <v>2</v>
      </c>
      <c r="I56">
        <v>1</v>
      </c>
      <c r="J56" t="s">
        <v>315</v>
      </c>
      <c r="K56">
        <v>2.1</v>
      </c>
      <c r="L56">
        <v>1.6</v>
      </c>
      <c r="M56">
        <v>61</v>
      </c>
      <c r="N56" s="2">
        <v>50500</v>
      </c>
      <c r="P56" s="1"/>
      <c r="Q56" s="1"/>
    </row>
    <row r="57" spans="1:17" x14ac:dyDescent="0.25">
      <c r="A57" s="1">
        <v>45080</v>
      </c>
      <c r="B57" t="s">
        <v>155</v>
      </c>
      <c r="C57" t="s">
        <v>304</v>
      </c>
      <c r="D57" t="s">
        <v>121</v>
      </c>
      <c r="E57" t="s">
        <v>64</v>
      </c>
      <c r="F57" t="s">
        <v>44</v>
      </c>
      <c r="G57" t="s">
        <v>19</v>
      </c>
      <c r="H57">
        <v>0</v>
      </c>
      <c r="I57">
        <v>2</v>
      </c>
      <c r="J57" t="s">
        <v>333</v>
      </c>
      <c r="M57">
        <v>42</v>
      </c>
      <c r="N57" s="2">
        <v>74322</v>
      </c>
      <c r="P57" s="1"/>
    </row>
    <row r="59" spans="1:17" x14ac:dyDescent="0.25">
      <c r="A59" t="s">
        <v>280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BE4B-E095-4062-9AB8-9775EED30FE1}">
  <dimension ref="A1:Q57"/>
  <sheetViews>
    <sheetView workbookViewId="0">
      <selection activeCell="O1" sqref="O1:V1048576"/>
    </sheetView>
  </sheetViews>
  <sheetFormatPr defaultRowHeight="15" x14ac:dyDescent="0.25"/>
  <cols>
    <col min="1" max="1" width="12.140625" customWidth="1"/>
  </cols>
  <sheetData>
    <row r="1" spans="1:17" x14ac:dyDescent="0.25">
      <c r="A1" t="s">
        <v>299</v>
      </c>
    </row>
    <row r="2" spans="1:17" x14ac:dyDescent="0.25">
      <c r="A2" t="s">
        <v>300</v>
      </c>
    </row>
    <row r="3" spans="1:17" x14ac:dyDescent="0.25">
      <c r="A3" t="s">
        <v>301</v>
      </c>
    </row>
    <row r="4" spans="1:17" x14ac:dyDescent="0.25">
      <c r="A4" t="s">
        <v>302</v>
      </c>
    </row>
    <row r="7" spans="1:17" x14ac:dyDescent="0.25">
      <c r="A7" t="s">
        <v>0</v>
      </c>
      <c r="B7" t="s">
        <v>1</v>
      </c>
      <c r="C7" t="s">
        <v>16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 t="s">
        <v>45</v>
      </c>
      <c r="K7" t="s">
        <v>55</v>
      </c>
      <c r="L7" t="s">
        <v>56</v>
      </c>
      <c r="M7" t="s">
        <v>57</v>
      </c>
      <c r="N7" t="s">
        <v>24</v>
      </c>
    </row>
    <row r="8" spans="1:17" x14ac:dyDescent="0.25">
      <c r="A8" s="1">
        <v>45151</v>
      </c>
      <c r="B8" t="s">
        <v>303</v>
      </c>
      <c r="C8" t="s">
        <v>304</v>
      </c>
      <c r="D8" t="s">
        <v>305</v>
      </c>
      <c r="E8" t="s">
        <v>62</v>
      </c>
      <c r="F8" t="s">
        <v>44</v>
      </c>
      <c r="G8" t="s">
        <v>18</v>
      </c>
      <c r="H8">
        <v>7</v>
      </c>
      <c r="I8">
        <v>0</v>
      </c>
      <c r="J8" t="s">
        <v>306</v>
      </c>
      <c r="M8">
        <v>67</v>
      </c>
      <c r="N8" s="2">
        <v>11100</v>
      </c>
      <c r="P8" s="1"/>
    </row>
    <row r="9" spans="1:17" x14ac:dyDescent="0.25">
      <c r="A9" s="1">
        <v>45158</v>
      </c>
      <c r="B9" t="s">
        <v>243</v>
      </c>
      <c r="C9" t="s">
        <v>307</v>
      </c>
      <c r="D9" t="s">
        <v>59</v>
      </c>
      <c r="E9" t="s">
        <v>62</v>
      </c>
      <c r="F9" t="s">
        <v>43</v>
      </c>
      <c r="G9" t="s">
        <v>18</v>
      </c>
      <c r="H9">
        <v>1</v>
      </c>
      <c r="I9">
        <v>0</v>
      </c>
      <c r="J9" t="s">
        <v>308</v>
      </c>
      <c r="K9">
        <v>1.5</v>
      </c>
      <c r="L9">
        <v>0.5</v>
      </c>
      <c r="M9">
        <v>61</v>
      </c>
      <c r="N9" s="2">
        <v>54000</v>
      </c>
      <c r="P9" s="1"/>
      <c r="Q9" s="1"/>
    </row>
    <row r="10" spans="1:17" x14ac:dyDescent="0.25">
      <c r="A10" s="1">
        <v>45162</v>
      </c>
      <c r="B10" t="s">
        <v>199</v>
      </c>
      <c r="C10" t="s">
        <v>309</v>
      </c>
      <c r="D10" t="s">
        <v>172</v>
      </c>
      <c r="E10" t="s">
        <v>85</v>
      </c>
      <c r="F10" t="s">
        <v>44</v>
      </c>
      <c r="G10" t="s">
        <v>4</v>
      </c>
      <c r="H10">
        <v>1</v>
      </c>
      <c r="I10">
        <v>1</v>
      </c>
      <c r="J10" t="s">
        <v>310</v>
      </c>
      <c r="N10" s="2">
        <v>35000</v>
      </c>
      <c r="P10" s="1"/>
      <c r="Q10" s="1"/>
    </row>
    <row r="11" spans="1:17" x14ac:dyDescent="0.25">
      <c r="A11" s="1">
        <v>45165</v>
      </c>
      <c r="B11" t="s">
        <v>303</v>
      </c>
      <c r="C11" t="s">
        <v>307</v>
      </c>
      <c r="D11" t="s">
        <v>61</v>
      </c>
      <c r="E11" t="s">
        <v>62</v>
      </c>
      <c r="F11" t="s">
        <v>44</v>
      </c>
      <c r="G11" t="s">
        <v>4</v>
      </c>
      <c r="H11">
        <v>1</v>
      </c>
      <c r="I11">
        <v>1</v>
      </c>
      <c r="J11" t="s">
        <v>311</v>
      </c>
      <c r="K11">
        <v>1.1000000000000001</v>
      </c>
      <c r="L11">
        <v>1.2</v>
      </c>
      <c r="M11">
        <v>60</v>
      </c>
      <c r="N11" s="2">
        <v>33305</v>
      </c>
      <c r="P11" s="1"/>
      <c r="Q11" s="1"/>
    </row>
    <row r="12" spans="1:17" x14ac:dyDescent="0.25">
      <c r="A12" s="1">
        <v>45169</v>
      </c>
      <c r="B12" t="s">
        <v>158</v>
      </c>
      <c r="C12" t="s">
        <v>309</v>
      </c>
      <c r="D12" t="s">
        <v>172</v>
      </c>
      <c r="E12" t="s">
        <v>85</v>
      </c>
      <c r="F12" t="s">
        <v>43</v>
      </c>
      <c r="G12" t="s">
        <v>18</v>
      </c>
      <c r="H12">
        <v>2</v>
      </c>
      <c r="I12">
        <v>0</v>
      </c>
      <c r="J12" t="s">
        <v>310</v>
      </c>
      <c r="N12" s="2">
        <v>46000</v>
      </c>
      <c r="P12" s="1"/>
      <c r="Q12" s="1"/>
    </row>
    <row r="13" spans="1:17" x14ac:dyDescent="0.25">
      <c r="A13" s="1">
        <v>45172</v>
      </c>
      <c r="B13" t="s">
        <v>303</v>
      </c>
      <c r="C13" t="s">
        <v>307</v>
      </c>
      <c r="D13" t="s">
        <v>63</v>
      </c>
      <c r="E13" t="s">
        <v>62</v>
      </c>
      <c r="F13" t="s">
        <v>43</v>
      </c>
      <c r="G13" t="s">
        <v>4</v>
      </c>
      <c r="H13">
        <v>1</v>
      </c>
      <c r="I13">
        <v>1</v>
      </c>
      <c r="J13" t="s">
        <v>312</v>
      </c>
      <c r="K13">
        <v>1.1000000000000001</v>
      </c>
      <c r="L13">
        <v>0.9</v>
      </c>
      <c r="M13">
        <v>65</v>
      </c>
      <c r="N13" s="2">
        <v>54000</v>
      </c>
      <c r="P13" s="1"/>
    </row>
    <row r="14" spans="1:17" x14ac:dyDescent="0.25">
      <c r="A14" s="1">
        <v>45185</v>
      </c>
      <c r="B14" t="s">
        <v>157</v>
      </c>
      <c r="C14" t="s">
        <v>307</v>
      </c>
      <c r="D14" t="s">
        <v>66</v>
      </c>
      <c r="E14" t="s">
        <v>64</v>
      </c>
      <c r="F14" t="s">
        <v>44</v>
      </c>
      <c r="G14" t="s">
        <v>4</v>
      </c>
      <c r="H14">
        <v>1</v>
      </c>
      <c r="I14">
        <v>1</v>
      </c>
      <c r="J14" t="s">
        <v>313</v>
      </c>
      <c r="K14">
        <v>0.6</v>
      </c>
      <c r="L14">
        <v>2</v>
      </c>
      <c r="M14">
        <v>51</v>
      </c>
      <c r="N14" s="2">
        <v>26000</v>
      </c>
      <c r="P14" s="1"/>
      <c r="Q14" s="1"/>
    </row>
    <row r="15" spans="1:17" x14ac:dyDescent="0.25">
      <c r="A15" s="1">
        <v>45190</v>
      </c>
      <c r="B15" t="s">
        <v>251</v>
      </c>
      <c r="C15" t="s">
        <v>309</v>
      </c>
      <c r="D15" t="s">
        <v>119</v>
      </c>
      <c r="E15" t="s">
        <v>85</v>
      </c>
      <c r="F15" t="s">
        <v>43</v>
      </c>
      <c r="G15" t="s">
        <v>18</v>
      </c>
      <c r="H15">
        <v>2</v>
      </c>
      <c r="I15">
        <v>1</v>
      </c>
      <c r="J15" t="s">
        <v>314</v>
      </c>
      <c r="K15">
        <v>1.2</v>
      </c>
      <c r="L15">
        <v>0.8</v>
      </c>
      <c r="M15">
        <v>77</v>
      </c>
      <c r="N15" s="2">
        <v>55500</v>
      </c>
      <c r="P15" s="1"/>
      <c r="Q15" s="1"/>
    </row>
    <row r="16" spans="1:17" x14ac:dyDescent="0.25">
      <c r="A16" s="1">
        <v>45193</v>
      </c>
      <c r="B16" t="s">
        <v>243</v>
      </c>
      <c r="C16" t="s">
        <v>307</v>
      </c>
      <c r="D16" t="s">
        <v>68</v>
      </c>
      <c r="E16" t="s">
        <v>62</v>
      </c>
      <c r="F16" t="s">
        <v>43</v>
      </c>
      <c r="G16" t="s">
        <v>4</v>
      </c>
      <c r="H16">
        <v>0</v>
      </c>
      <c r="I16">
        <v>0</v>
      </c>
      <c r="J16" t="s">
        <v>315</v>
      </c>
      <c r="K16">
        <v>0.6</v>
      </c>
      <c r="L16">
        <v>0.5</v>
      </c>
      <c r="M16">
        <v>57</v>
      </c>
      <c r="N16" s="2">
        <v>55800</v>
      </c>
      <c r="P16" s="1"/>
      <c r="Q16" s="1"/>
    </row>
    <row r="17" spans="1:17" x14ac:dyDescent="0.25">
      <c r="A17" s="1">
        <v>45199</v>
      </c>
      <c r="B17" t="s">
        <v>303</v>
      </c>
      <c r="C17" t="s">
        <v>307</v>
      </c>
      <c r="D17" t="s">
        <v>71</v>
      </c>
      <c r="E17" t="s">
        <v>64</v>
      </c>
      <c r="F17" t="s">
        <v>44</v>
      </c>
      <c r="G17" t="s">
        <v>19</v>
      </c>
      <c r="H17">
        <v>0</v>
      </c>
      <c r="I17">
        <v>2</v>
      </c>
      <c r="J17" t="s">
        <v>316</v>
      </c>
      <c r="K17">
        <v>1.3</v>
      </c>
      <c r="L17">
        <v>3.2</v>
      </c>
      <c r="M17">
        <v>46</v>
      </c>
      <c r="N17" s="2">
        <v>28323</v>
      </c>
      <c r="P17" s="1"/>
    </row>
    <row r="18" spans="1:17" x14ac:dyDescent="0.25">
      <c r="A18" s="1">
        <v>45204</v>
      </c>
      <c r="B18" t="s">
        <v>203</v>
      </c>
      <c r="C18" t="s">
        <v>309</v>
      </c>
      <c r="D18" t="s">
        <v>119</v>
      </c>
      <c r="E18" t="s">
        <v>85</v>
      </c>
      <c r="F18" t="s">
        <v>44</v>
      </c>
      <c r="G18" t="s">
        <v>19</v>
      </c>
      <c r="H18">
        <v>1</v>
      </c>
      <c r="I18">
        <v>2</v>
      </c>
      <c r="J18" t="s">
        <v>317</v>
      </c>
      <c r="K18">
        <v>1.5</v>
      </c>
      <c r="L18">
        <v>0.5</v>
      </c>
      <c r="M18">
        <v>55</v>
      </c>
      <c r="N18" s="2">
        <v>21549</v>
      </c>
    </row>
    <row r="19" spans="1:17" x14ac:dyDescent="0.25">
      <c r="A19" s="1">
        <v>45207</v>
      </c>
      <c r="B19" t="s">
        <v>166</v>
      </c>
      <c r="C19" t="s">
        <v>307</v>
      </c>
      <c r="D19" t="s">
        <v>72</v>
      </c>
      <c r="E19" t="s">
        <v>62</v>
      </c>
      <c r="F19" t="s">
        <v>43</v>
      </c>
      <c r="G19" t="s">
        <v>18</v>
      </c>
      <c r="H19">
        <v>2</v>
      </c>
      <c r="I19">
        <v>0</v>
      </c>
      <c r="J19" t="s">
        <v>318</v>
      </c>
      <c r="K19">
        <v>1.9</v>
      </c>
      <c r="L19">
        <v>1.2</v>
      </c>
      <c r="M19">
        <v>49</v>
      </c>
      <c r="N19" s="2">
        <v>55800</v>
      </c>
      <c r="P19" s="1"/>
    </row>
    <row r="20" spans="1:17" x14ac:dyDescent="0.25">
      <c r="A20" s="1">
        <v>45220</v>
      </c>
      <c r="B20" t="s">
        <v>303</v>
      </c>
      <c r="C20" t="s">
        <v>307</v>
      </c>
      <c r="D20" t="s">
        <v>74</v>
      </c>
      <c r="E20" t="s">
        <v>64</v>
      </c>
      <c r="F20" t="s">
        <v>44</v>
      </c>
      <c r="G20" t="s">
        <v>18</v>
      </c>
      <c r="H20">
        <v>3</v>
      </c>
      <c r="I20">
        <v>1</v>
      </c>
      <c r="J20" t="s">
        <v>319</v>
      </c>
      <c r="K20">
        <v>2.4</v>
      </c>
      <c r="L20">
        <v>1.4</v>
      </c>
      <c r="M20">
        <v>46</v>
      </c>
      <c r="N20" s="2">
        <v>30150</v>
      </c>
      <c r="P20" s="1"/>
      <c r="Q20" s="1"/>
    </row>
    <row r="21" spans="1:17" x14ac:dyDescent="0.25">
      <c r="A21" s="1">
        <v>45225</v>
      </c>
      <c r="B21" t="s">
        <v>181</v>
      </c>
      <c r="C21" t="s">
        <v>309</v>
      </c>
      <c r="D21" t="s">
        <v>119</v>
      </c>
      <c r="E21" t="s">
        <v>85</v>
      </c>
      <c r="F21" t="s">
        <v>43</v>
      </c>
      <c r="G21" t="s">
        <v>18</v>
      </c>
      <c r="H21">
        <v>6</v>
      </c>
      <c r="I21">
        <v>0</v>
      </c>
      <c r="J21" t="s">
        <v>320</v>
      </c>
      <c r="K21">
        <v>3.5</v>
      </c>
      <c r="L21">
        <v>0.5</v>
      </c>
      <c r="M21">
        <v>59</v>
      </c>
      <c r="N21" s="2">
        <v>55500</v>
      </c>
      <c r="P21" s="1"/>
      <c r="Q21" s="1"/>
    </row>
    <row r="22" spans="1:17" x14ac:dyDescent="0.25">
      <c r="A22" s="1">
        <v>45228</v>
      </c>
      <c r="B22" t="s">
        <v>287</v>
      </c>
      <c r="C22" t="s">
        <v>307</v>
      </c>
      <c r="D22" t="s">
        <v>75</v>
      </c>
      <c r="E22" t="s">
        <v>62</v>
      </c>
      <c r="F22" t="s">
        <v>43</v>
      </c>
      <c r="G22" t="s">
        <v>4</v>
      </c>
      <c r="H22">
        <v>3</v>
      </c>
      <c r="I22">
        <v>3</v>
      </c>
      <c r="J22" t="s">
        <v>321</v>
      </c>
      <c r="K22">
        <v>2.2000000000000002</v>
      </c>
      <c r="L22">
        <v>2.2000000000000002</v>
      </c>
      <c r="M22">
        <v>41</v>
      </c>
      <c r="N22" s="2">
        <v>56500</v>
      </c>
      <c r="P22" s="1"/>
    </row>
    <row r="23" spans="1:17" x14ac:dyDescent="0.25">
      <c r="A23" s="1">
        <v>45231</v>
      </c>
      <c r="B23" t="s">
        <v>180</v>
      </c>
      <c r="C23" t="s">
        <v>304</v>
      </c>
      <c r="D23" t="s">
        <v>77</v>
      </c>
      <c r="E23" t="s">
        <v>92</v>
      </c>
      <c r="F23" t="s">
        <v>44</v>
      </c>
      <c r="G23" t="s">
        <v>18</v>
      </c>
      <c r="H23">
        <v>2</v>
      </c>
      <c r="I23">
        <v>0</v>
      </c>
      <c r="J23" t="s">
        <v>322</v>
      </c>
      <c r="M23">
        <v>56</v>
      </c>
      <c r="N23" s="2">
        <v>8343</v>
      </c>
      <c r="P23" s="1"/>
      <c r="Q23" s="1"/>
    </row>
    <row r="24" spans="1:17" x14ac:dyDescent="0.25">
      <c r="A24" s="1">
        <v>45234</v>
      </c>
      <c r="B24" t="s">
        <v>287</v>
      </c>
      <c r="C24" t="s">
        <v>307</v>
      </c>
      <c r="D24" t="s">
        <v>79</v>
      </c>
      <c r="E24" t="s">
        <v>64</v>
      </c>
      <c r="F24" t="s">
        <v>44</v>
      </c>
      <c r="G24" t="s">
        <v>18</v>
      </c>
      <c r="H24">
        <v>3</v>
      </c>
      <c r="I24">
        <v>0</v>
      </c>
      <c r="J24" t="s">
        <v>323</v>
      </c>
      <c r="K24">
        <v>1.6</v>
      </c>
      <c r="L24">
        <v>0.7</v>
      </c>
      <c r="M24">
        <v>50</v>
      </c>
      <c r="N24" s="2">
        <v>22012</v>
      </c>
      <c r="P24" s="1"/>
      <c r="Q24" s="1"/>
    </row>
    <row r="25" spans="1:17" x14ac:dyDescent="0.25">
      <c r="A25" s="1">
        <v>45239</v>
      </c>
      <c r="B25" t="s">
        <v>324</v>
      </c>
      <c r="C25" t="s">
        <v>309</v>
      </c>
      <c r="D25" t="s">
        <v>119</v>
      </c>
      <c r="E25" t="s">
        <v>85</v>
      </c>
      <c r="F25" t="s">
        <v>44</v>
      </c>
      <c r="G25" t="s">
        <v>18</v>
      </c>
      <c r="H25">
        <v>1</v>
      </c>
      <c r="I25">
        <v>0</v>
      </c>
      <c r="J25" t="s">
        <v>320</v>
      </c>
      <c r="K25">
        <v>2</v>
      </c>
      <c r="L25">
        <v>0.8</v>
      </c>
      <c r="M25">
        <v>56</v>
      </c>
      <c r="N25" s="2">
        <v>10121</v>
      </c>
      <c r="Q25" s="1"/>
    </row>
    <row r="26" spans="1:17" x14ac:dyDescent="0.25">
      <c r="A26" s="1">
        <v>45242</v>
      </c>
      <c r="B26" t="s">
        <v>243</v>
      </c>
      <c r="C26" t="s">
        <v>307</v>
      </c>
      <c r="D26" t="s">
        <v>81</v>
      </c>
      <c r="E26" t="s">
        <v>62</v>
      </c>
      <c r="F26" t="s">
        <v>44</v>
      </c>
      <c r="G26" t="s">
        <v>4</v>
      </c>
      <c r="H26">
        <v>2</v>
      </c>
      <c r="I26">
        <v>2</v>
      </c>
      <c r="J26" t="s">
        <v>325</v>
      </c>
      <c r="K26">
        <v>2</v>
      </c>
      <c r="L26">
        <v>1.5</v>
      </c>
      <c r="M26">
        <v>51</v>
      </c>
      <c r="N26" s="2">
        <v>42100</v>
      </c>
      <c r="P26" s="1"/>
      <c r="Q26" s="1"/>
    </row>
    <row r="27" spans="1:17" x14ac:dyDescent="0.25">
      <c r="A27" s="1">
        <v>45255</v>
      </c>
      <c r="B27" t="s">
        <v>157</v>
      </c>
      <c r="C27" t="s">
        <v>307</v>
      </c>
      <c r="D27" t="s">
        <v>83</v>
      </c>
      <c r="E27" t="s">
        <v>64</v>
      </c>
      <c r="F27" t="s">
        <v>43</v>
      </c>
      <c r="G27" t="s">
        <v>19</v>
      </c>
      <c r="H27">
        <v>1</v>
      </c>
      <c r="I27">
        <v>2</v>
      </c>
      <c r="J27" t="s">
        <v>326</v>
      </c>
      <c r="K27">
        <v>0.9</v>
      </c>
      <c r="L27">
        <v>2.2999999999999998</v>
      </c>
      <c r="M27">
        <v>57</v>
      </c>
      <c r="N27" s="2">
        <v>58000</v>
      </c>
      <c r="Q27" s="1"/>
    </row>
    <row r="28" spans="1:17" x14ac:dyDescent="0.25">
      <c r="A28" s="1">
        <v>45260</v>
      </c>
      <c r="B28" t="s">
        <v>181</v>
      </c>
      <c r="C28" t="s">
        <v>309</v>
      </c>
      <c r="D28" t="s">
        <v>119</v>
      </c>
      <c r="E28" t="s">
        <v>85</v>
      </c>
      <c r="F28" t="s">
        <v>43</v>
      </c>
      <c r="G28" t="s">
        <v>19</v>
      </c>
      <c r="H28">
        <v>1</v>
      </c>
      <c r="I28">
        <v>2</v>
      </c>
      <c r="J28" t="s">
        <v>317</v>
      </c>
      <c r="K28">
        <v>1.7</v>
      </c>
      <c r="L28">
        <v>1.8</v>
      </c>
      <c r="M28">
        <v>62</v>
      </c>
      <c r="N28" s="2">
        <v>58000</v>
      </c>
      <c r="P28" s="1"/>
    </row>
    <row r="29" spans="1:17" x14ac:dyDescent="0.25">
      <c r="A29" s="1">
        <v>45263</v>
      </c>
      <c r="B29" t="s">
        <v>166</v>
      </c>
      <c r="C29" t="s">
        <v>307</v>
      </c>
      <c r="D29" t="s">
        <v>84</v>
      </c>
      <c r="E29" t="s">
        <v>62</v>
      </c>
      <c r="F29" t="s">
        <v>44</v>
      </c>
      <c r="G29" t="s">
        <v>19</v>
      </c>
      <c r="H29">
        <v>1</v>
      </c>
      <c r="I29">
        <v>2</v>
      </c>
      <c r="J29" t="s">
        <v>327</v>
      </c>
      <c r="K29">
        <v>1</v>
      </c>
      <c r="L29">
        <v>1.4</v>
      </c>
      <c r="M29">
        <v>64</v>
      </c>
      <c r="N29" s="2">
        <v>26107</v>
      </c>
      <c r="P29" s="1"/>
    </row>
    <row r="30" spans="1:17" x14ac:dyDescent="0.25">
      <c r="A30" s="1">
        <v>45266</v>
      </c>
      <c r="B30" t="s">
        <v>209</v>
      </c>
      <c r="C30" t="s">
        <v>304</v>
      </c>
      <c r="D30" t="s">
        <v>91</v>
      </c>
      <c r="E30" t="s">
        <v>92</v>
      </c>
      <c r="F30" t="s">
        <v>44</v>
      </c>
      <c r="G30" t="s">
        <v>19</v>
      </c>
      <c r="H30">
        <v>0</v>
      </c>
      <c r="I30">
        <v>2</v>
      </c>
      <c r="J30" t="s">
        <v>328</v>
      </c>
      <c r="M30">
        <v>61</v>
      </c>
      <c r="N30" s="2">
        <v>15905</v>
      </c>
      <c r="Q30" s="1"/>
    </row>
    <row r="31" spans="1:17" x14ac:dyDescent="0.25">
      <c r="A31" s="1">
        <v>45269</v>
      </c>
      <c r="B31" t="s">
        <v>303</v>
      </c>
      <c r="C31" t="s">
        <v>307</v>
      </c>
      <c r="D31" t="s">
        <v>86</v>
      </c>
      <c r="E31" t="s">
        <v>64</v>
      </c>
      <c r="F31" t="s">
        <v>43</v>
      </c>
      <c r="G31" t="s">
        <v>18</v>
      </c>
      <c r="H31">
        <v>5</v>
      </c>
      <c r="I31">
        <v>1</v>
      </c>
      <c r="J31" t="s">
        <v>329</v>
      </c>
      <c r="K31">
        <v>1.3</v>
      </c>
      <c r="L31">
        <v>2.1</v>
      </c>
      <c r="M31">
        <v>36</v>
      </c>
      <c r="N31" s="2">
        <v>58000</v>
      </c>
      <c r="P31" s="1"/>
    </row>
    <row r="32" spans="1:17" x14ac:dyDescent="0.25">
      <c r="A32" s="1">
        <v>45274</v>
      </c>
      <c r="B32" t="s">
        <v>330</v>
      </c>
      <c r="C32" t="s">
        <v>309</v>
      </c>
      <c r="D32" t="s">
        <v>119</v>
      </c>
      <c r="E32" t="s">
        <v>85</v>
      </c>
      <c r="F32" t="s">
        <v>44</v>
      </c>
      <c r="G32" t="s">
        <v>19</v>
      </c>
      <c r="H32">
        <v>0</v>
      </c>
      <c r="I32">
        <v>2</v>
      </c>
      <c r="J32" t="s">
        <v>314</v>
      </c>
      <c r="K32">
        <v>0.9</v>
      </c>
      <c r="L32">
        <v>1.2</v>
      </c>
      <c r="M32">
        <v>77</v>
      </c>
      <c r="N32" s="2">
        <v>14474</v>
      </c>
      <c r="Q32" s="1"/>
    </row>
    <row r="33" spans="1:17" x14ac:dyDescent="0.25">
      <c r="A33" s="1">
        <v>45277</v>
      </c>
      <c r="B33" t="s">
        <v>243</v>
      </c>
      <c r="C33" t="s">
        <v>307</v>
      </c>
      <c r="D33" t="s">
        <v>87</v>
      </c>
      <c r="E33" t="s">
        <v>62</v>
      </c>
      <c r="F33" t="s">
        <v>44</v>
      </c>
      <c r="G33" t="s">
        <v>19</v>
      </c>
      <c r="H33">
        <v>0</v>
      </c>
      <c r="I33">
        <v>3</v>
      </c>
      <c r="J33" t="s">
        <v>331</v>
      </c>
      <c r="K33">
        <v>0.2</v>
      </c>
      <c r="L33">
        <v>2.5</v>
      </c>
      <c r="M33">
        <v>39</v>
      </c>
      <c r="N33" s="2">
        <v>30210</v>
      </c>
      <c r="P33" s="1"/>
      <c r="Q33" s="1"/>
    </row>
    <row r="34" spans="1:17" x14ac:dyDescent="0.25">
      <c r="A34" s="1">
        <v>45280</v>
      </c>
      <c r="B34" t="s">
        <v>158</v>
      </c>
      <c r="C34" t="s">
        <v>307</v>
      </c>
      <c r="D34" t="s">
        <v>88</v>
      </c>
      <c r="E34" t="s">
        <v>92</v>
      </c>
      <c r="F34" t="s">
        <v>43</v>
      </c>
      <c r="G34" t="s">
        <v>18</v>
      </c>
      <c r="H34">
        <v>2</v>
      </c>
      <c r="I34">
        <v>1</v>
      </c>
      <c r="J34" t="s">
        <v>332</v>
      </c>
      <c r="K34">
        <v>1.4</v>
      </c>
      <c r="L34">
        <v>0.3</v>
      </c>
      <c r="M34">
        <v>63</v>
      </c>
      <c r="N34" s="2">
        <v>58000</v>
      </c>
      <c r="P34" s="1"/>
      <c r="Q34" s="1"/>
    </row>
    <row r="35" spans="1:17" x14ac:dyDescent="0.25">
      <c r="A35" s="1">
        <v>45304</v>
      </c>
      <c r="B35" t="s">
        <v>303</v>
      </c>
      <c r="C35" t="s">
        <v>307</v>
      </c>
      <c r="D35" t="s">
        <v>90</v>
      </c>
      <c r="E35" t="s">
        <v>64</v>
      </c>
      <c r="F35" t="s">
        <v>44</v>
      </c>
      <c r="G35" t="s">
        <v>18</v>
      </c>
      <c r="H35">
        <v>1</v>
      </c>
      <c r="I35">
        <v>0</v>
      </c>
      <c r="J35" t="s">
        <v>333</v>
      </c>
      <c r="K35">
        <v>1.1000000000000001</v>
      </c>
      <c r="L35">
        <v>3.5</v>
      </c>
      <c r="M35">
        <v>38</v>
      </c>
      <c r="N35" s="2">
        <v>45867</v>
      </c>
      <c r="P35" s="1"/>
      <c r="Q35" s="1"/>
    </row>
    <row r="36" spans="1:17" x14ac:dyDescent="0.25">
      <c r="A36" s="1">
        <v>45311</v>
      </c>
      <c r="B36" t="s">
        <v>303</v>
      </c>
      <c r="C36" t="s">
        <v>307</v>
      </c>
      <c r="D36" t="s">
        <v>93</v>
      </c>
      <c r="E36" t="s">
        <v>64</v>
      </c>
      <c r="F36" t="s">
        <v>44</v>
      </c>
      <c r="G36" t="s">
        <v>4</v>
      </c>
      <c r="H36">
        <v>2</v>
      </c>
      <c r="I36">
        <v>2</v>
      </c>
      <c r="J36" t="s">
        <v>308</v>
      </c>
      <c r="K36">
        <v>1.2</v>
      </c>
      <c r="L36">
        <v>1.1000000000000001</v>
      </c>
      <c r="M36">
        <v>50</v>
      </c>
      <c r="N36" s="2">
        <v>17750</v>
      </c>
      <c r="P36" s="1"/>
      <c r="Q36" s="1"/>
    </row>
    <row r="37" spans="1:17" x14ac:dyDescent="0.25">
      <c r="A37" s="1">
        <v>45317</v>
      </c>
      <c r="B37" t="s">
        <v>158</v>
      </c>
      <c r="C37" t="s">
        <v>307</v>
      </c>
      <c r="D37" t="s">
        <v>94</v>
      </c>
      <c r="E37" t="s">
        <v>60</v>
      </c>
      <c r="F37" t="s">
        <v>43</v>
      </c>
      <c r="G37" t="s">
        <v>18</v>
      </c>
      <c r="H37">
        <v>1</v>
      </c>
      <c r="I37">
        <v>0</v>
      </c>
      <c r="J37" t="s">
        <v>311</v>
      </c>
      <c r="K37">
        <v>1.3</v>
      </c>
      <c r="L37">
        <v>0.8</v>
      </c>
      <c r="M37">
        <v>55</v>
      </c>
      <c r="N37" s="2">
        <v>58000</v>
      </c>
      <c r="P37" s="1"/>
      <c r="Q37" s="1"/>
    </row>
    <row r="38" spans="1:17" x14ac:dyDescent="0.25">
      <c r="A38" t="s">
        <v>0</v>
      </c>
      <c r="B38" t="s">
        <v>1</v>
      </c>
      <c r="C38" t="s">
        <v>16</v>
      </c>
      <c r="D38" t="s">
        <v>51</v>
      </c>
      <c r="E38" t="s">
        <v>52</v>
      </c>
      <c r="F38" t="s">
        <v>53</v>
      </c>
      <c r="G38" t="s">
        <v>54</v>
      </c>
      <c r="H38" t="s">
        <v>20</v>
      </c>
      <c r="I38" t="s">
        <v>21</v>
      </c>
      <c r="J38" t="s">
        <v>45</v>
      </c>
      <c r="K38" t="s">
        <v>55</v>
      </c>
      <c r="L38" t="s">
        <v>56</v>
      </c>
      <c r="M38" t="s">
        <v>57</v>
      </c>
      <c r="N38" t="s">
        <v>24</v>
      </c>
    </row>
    <row r="39" spans="1:17" x14ac:dyDescent="0.25">
      <c r="A39" s="1">
        <v>45325</v>
      </c>
      <c r="B39" t="s">
        <v>157</v>
      </c>
      <c r="C39" t="s">
        <v>307</v>
      </c>
      <c r="D39" t="s">
        <v>97</v>
      </c>
      <c r="E39" t="s">
        <v>64</v>
      </c>
      <c r="F39" t="s">
        <v>44</v>
      </c>
      <c r="G39" t="s">
        <v>19</v>
      </c>
      <c r="H39">
        <v>0</v>
      </c>
      <c r="I39">
        <v>2</v>
      </c>
      <c r="J39" t="s">
        <v>312</v>
      </c>
      <c r="K39">
        <v>0.8</v>
      </c>
      <c r="L39">
        <v>1.3</v>
      </c>
      <c r="M39">
        <v>59</v>
      </c>
      <c r="N39" s="2">
        <v>50000</v>
      </c>
      <c r="P39" s="1"/>
    </row>
    <row r="40" spans="1:17" x14ac:dyDescent="0.25">
      <c r="A40" s="1">
        <v>45332</v>
      </c>
      <c r="B40" t="s">
        <v>303</v>
      </c>
      <c r="C40" t="s">
        <v>307</v>
      </c>
      <c r="D40" t="s">
        <v>98</v>
      </c>
      <c r="E40" t="s">
        <v>64</v>
      </c>
      <c r="F40" t="s">
        <v>43</v>
      </c>
      <c r="G40" t="s">
        <v>4</v>
      </c>
      <c r="H40">
        <v>1</v>
      </c>
      <c r="I40">
        <v>1</v>
      </c>
      <c r="J40" t="s">
        <v>313</v>
      </c>
      <c r="K40">
        <v>2.4</v>
      </c>
      <c r="L40">
        <v>1.5</v>
      </c>
      <c r="M40">
        <v>53</v>
      </c>
      <c r="N40" s="2">
        <v>57500</v>
      </c>
    </row>
    <row r="41" spans="1:17" x14ac:dyDescent="0.25">
      <c r="A41" s="1">
        <v>45337</v>
      </c>
      <c r="B41" t="s">
        <v>251</v>
      </c>
      <c r="C41" t="s">
        <v>309</v>
      </c>
      <c r="D41" t="s">
        <v>260</v>
      </c>
      <c r="E41" t="s">
        <v>85</v>
      </c>
      <c r="F41" t="s">
        <v>44</v>
      </c>
      <c r="G41" t="s">
        <v>4</v>
      </c>
      <c r="H41">
        <v>2</v>
      </c>
      <c r="I41">
        <v>2</v>
      </c>
      <c r="J41" t="s">
        <v>334</v>
      </c>
      <c r="K41">
        <v>1.6</v>
      </c>
      <c r="L41">
        <v>1.6</v>
      </c>
      <c r="M41">
        <v>50</v>
      </c>
      <c r="N41" s="2">
        <v>9015</v>
      </c>
      <c r="P41" s="1"/>
    </row>
    <row r="42" spans="1:17" x14ac:dyDescent="0.25">
      <c r="A42" s="1">
        <v>45340</v>
      </c>
      <c r="B42" t="s">
        <v>303</v>
      </c>
      <c r="C42" t="s">
        <v>307</v>
      </c>
      <c r="D42" t="s">
        <v>100</v>
      </c>
      <c r="E42" t="s">
        <v>62</v>
      </c>
      <c r="F42" t="s">
        <v>44</v>
      </c>
      <c r="G42" t="s">
        <v>4</v>
      </c>
      <c r="H42">
        <v>3</v>
      </c>
      <c r="I42">
        <v>3</v>
      </c>
      <c r="J42" t="s">
        <v>315</v>
      </c>
      <c r="K42">
        <v>1</v>
      </c>
      <c r="L42">
        <v>2.2000000000000002</v>
      </c>
      <c r="M42">
        <v>46</v>
      </c>
      <c r="N42" s="2">
        <v>34700</v>
      </c>
      <c r="P42" s="1"/>
      <c r="Q42" s="1"/>
    </row>
    <row r="43" spans="1:17" x14ac:dyDescent="0.25">
      <c r="A43" s="1">
        <v>45344</v>
      </c>
      <c r="B43" t="s">
        <v>181</v>
      </c>
      <c r="C43" t="s">
        <v>309</v>
      </c>
      <c r="D43" t="s">
        <v>260</v>
      </c>
      <c r="E43" t="s">
        <v>85</v>
      </c>
      <c r="F43" t="s">
        <v>43</v>
      </c>
      <c r="G43" t="s">
        <v>19</v>
      </c>
      <c r="H43">
        <v>1</v>
      </c>
      <c r="I43">
        <v>2</v>
      </c>
      <c r="J43" t="s">
        <v>334</v>
      </c>
      <c r="K43">
        <v>1.2</v>
      </c>
      <c r="L43">
        <v>0.8</v>
      </c>
      <c r="M43">
        <v>53</v>
      </c>
      <c r="N43" s="2">
        <v>57300</v>
      </c>
      <c r="P43" s="1"/>
      <c r="Q43" s="1"/>
    </row>
    <row r="44" spans="1:17" x14ac:dyDescent="0.25">
      <c r="A44" s="1">
        <v>45347</v>
      </c>
      <c r="B44" t="s">
        <v>303</v>
      </c>
      <c r="C44" t="s">
        <v>307</v>
      </c>
      <c r="D44" t="s">
        <v>101</v>
      </c>
      <c r="E44" t="s">
        <v>62</v>
      </c>
      <c r="F44" t="s">
        <v>43</v>
      </c>
      <c r="G44" t="s">
        <v>4</v>
      </c>
      <c r="H44">
        <v>2</v>
      </c>
      <c r="I44">
        <v>2</v>
      </c>
      <c r="J44" t="s">
        <v>316</v>
      </c>
      <c r="K44">
        <v>0.9</v>
      </c>
      <c r="L44">
        <v>1</v>
      </c>
      <c r="M44">
        <v>57</v>
      </c>
      <c r="N44" s="2">
        <v>56500</v>
      </c>
      <c r="P44" s="1"/>
    </row>
    <row r="45" spans="1:17" x14ac:dyDescent="0.25">
      <c r="A45" s="1">
        <v>45353</v>
      </c>
      <c r="B45" t="s">
        <v>303</v>
      </c>
      <c r="C45" t="s">
        <v>307</v>
      </c>
      <c r="D45" t="s">
        <v>102</v>
      </c>
      <c r="E45" t="s">
        <v>64</v>
      </c>
      <c r="F45" t="s">
        <v>44</v>
      </c>
      <c r="G45" t="s">
        <v>18</v>
      </c>
      <c r="H45">
        <v>2</v>
      </c>
      <c r="I45">
        <v>1</v>
      </c>
      <c r="J45" t="s">
        <v>318</v>
      </c>
      <c r="K45">
        <v>1.2</v>
      </c>
      <c r="L45">
        <v>1</v>
      </c>
      <c r="M45">
        <v>42</v>
      </c>
      <c r="N45" s="2">
        <v>15000</v>
      </c>
      <c r="P45" s="1"/>
    </row>
    <row r="46" spans="1:17" x14ac:dyDescent="0.25">
      <c r="A46" s="1">
        <v>45361</v>
      </c>
      <c r="B46" t="s">
        <v>335</v>
      </c>
      <c r="C46" t="s">
        <v>307</v>
      </c>
      <c r="D46" t="s">
        <v>103</v>
      </c>
      <c r="E46" t="s">
        <v>62</v>
      </c>
      <c r="F46" t="s">
        <v>43</v>
      </c>
      <c r="G46" t="s">
        <v>18</v>
      </c>
      <c r="H46">
        <v>3</v>
      </c>
      <c r="I46">
        <v>1</v>
      </c>
      <c r="J46" t="s">
        <v>319</v>
      </c>
      <c r="K46">
        <v>2.4</v>
      </c>
      <c r="L46">
        <v>0.6</v>
      </c>
      <c r="M46">
        <v>64</v>
      </c>
      <c r="N46" s="2">
        <v>57000</v>
      </c>
      <c r="P46" s="1"/>
    </row>
    <row r="47" spans="1:17" x14ac:dyDescent="0.25">
      <c r="A47" s="1">
        <v>45368</v>
      </c>
      <c r="B47" t="s">
        <v>335</v>
      </c>
      <c r="C47" t="s">
        <v>307</v>
      </c>
      <c r="D47" t="s">
        <v>104</v>
      </c>
      <c r="E47" t="s">
        <v>62</v>
      </c>
      <c r="F47" t="s">
        <v>44</v>
      </c>
      <c r="G47" t="s">
        <v>19</v>
      </c>
      <c r="H47">
        <v>1</v>
      </c>
      <c r="I47">
        <v>3</v>
      </c>
      <c r="J47" t="s">
        <v>321</v>
      </c>
      <c r="K47">
        <v>0.9</v>
      </c>
      <c r="L47">
        <v>2.2999999999999998</v>
      </c>
      <c r="M47">
        <v>34</v>
      </c>
      <c r="N47" s="2">
        <v>81365</v>
      </c>
      <c r="P47" s="1"/>
      <c r="Q47" s="1"/>
    </row>
    <row r="48" spans="1:17" x14ac:dyDescent="0.25">
      <c r="A48" s="1">
        <v>45381</v>
      </c>
      <c r="B48" t="s">
        <v>287</v>
      </c>
      <c r="C48" t="s">
        <v>307</v>
      </c>
      <c r="D48" t="s">
        <v>105</v>
      </c>
      <c r="E48" t="s">
        <v>64</v>
      </c>
      <c r="F48" t="s">
        <v>43</v>
      </c>
      <c r="G48" t="s">
        <v>4</v>
      </c>
      <c r="H48">
        <v>0</v>
      </c>
      <c r="I48">
        <v>0</v>
      </c>
      <c r="J48" t="s">
        <v>323</v>
      </c>
      <c r="K48">
        <v>1</v>
      </c>
      <c r="L48">
        <v>1.5</v>
      </c>
      <c r="M48">
        <v>65</v>
      </c>
      <c r="N48" s="2">
        <v>57100</v>
      </c>
      <c r="P48" s="1"/>
      <c r="Q48" s="1"/>
    </row>
    <row r="49" spans="1:17" x14ac:dyDescent="0.25">
      <c r="A49" s="1">
        <v>45387</v>
      </c>
      <c r="B49" t="s">
        <v>158</v>
      </c>
      <c r="C49" t="s">
        <v>307</v>
      </c>
      <c r="D49" t="s">
        <v>106</v>
      </c>
      <c r="E49" t="s">
        <v>60</v>
      </c>
      <c r="F49" t="s">
        <v>43</v>
      </c>
      <c r="G49" t="s">
        <v>4</v>
      </c>
      <c r="H49">
        <v>1</v>
      </c>
      <c r="I49">
        <v>1</v>
      </c>
      <c r="J49" t="s">
        <v>325</v>
      </c>
      <c r="K49">
        <v>2.1</v>
      </c>
      <c r="L49">
        <v>1.6</v>
      </c>
      <c r="M49">
        <v>66</v>
      </c>
      <c r="N49" s="2">
        <v>58000</v>
      </c>
      <c r="P49" s="1"/>
      <c r="Q49" s="1"/>
    </row>
    <row r="50" spans="1:17" x14ac:dyDescent="0.25">
      <c r="A50" s="1">
        <v>45395</v>
      </c>
      <c r="B50" t="s">
        <v>157</v>
      </c>
      <c r="C50" t="s">
        <v>307</v>
      </c>
      <c r="D50" t="s">
        <v>107</v>
      </c>
      <c r="E50" t="s">
        <v>64</v>
      </c>
      <c r="F50" t="s">
        <v>44</v>
      </c>
      <c r="G50" t="s">
        <v>19</v>
      </c>
      <c r="H50">
        <v>0</v>
      </c>
      <c r="I50">
        <v>3</v>
      </c>
      <c r="J50" t="s">
        <v>326</v>
      </c>
      <c r="K50">
        <v>0.6</v>
      </c>
      <c r="L50">
        <v>1.2</v>
      </c>
      <c r="M50">
        <v>46</v>
      </c>
      <c r="N50" s="2">
        <v>60000</v>
      </c>
    </row>
    <row r="51" spans="1:17" x14ac:dyDescent="0.25">
      <c r="A51" s="1">
        <v>45401</v>
      </c>
      <c r="B51" t="s">
        <v>158</v>
      </c>
      <c r="C51" t="s">
        <v>307</v>
      </c>
      <c r="D51" t="s">
        <v>108</v>
      </c>
      <c r="E51" t="s">
        <v>60</v>
      </c>
      <c r="F51" t="s">
        <v>43</v>
      </c>
      <c r="G51" t="s">
        <v>18</v>
      </c>
      <c r="H51">
        <v>3</v>
      </c>
      <c r="I51">
        <v>1</v>
      </c>
      <c r="J51" t="s">
        <v>327</v>
      </c>
      <c r="K51">
        <v>1.8</v>
      </c>
      <c r="L51">
        <v>0.5</v>
      </c>
      <c r="M51">
        <v>63</v>
      </c>
      <c r="N51" s="2">
        <v>57600</v>
      </c>
      <c r="P51" s="1"/>
    </row>
    <row r="52" spans="1:17" x14ac:dyDescent="0.25">
      <c r="A52" s="1">
        <v>45409</v>
      </c>
      <c r="B52" t="s">
        <v>303</v>
      </c>
      <c r="C52" t="s">
        <v>307</v>
      </c>
      <c r="D52" t="s">
        <v>109</v>
      </c>
      <c r="E52" t="s">
        <v>64</v>
      </c>
      <c r="F52" t="s">
        <v>44</v>
      </c>
      <c r="G52" t="s">
        <v>19</v>
      </c>
      <c r="H52">
        <v>1</v>
      </c>
      <c r="I52">
        <v>2</v>
      </c>
      <c r="J52" t="s">
        <v>329</v>
      </c>
      <c r="K52">
        <v>0.5</v>
      </c>
      <c r="L52">
        <v>3.3</v>
      </c>
      <c r="M52">
        <v>38</v>
      </c>
      <c r="N52" s="2">
        <v>75000</v>
      </c>
      <c r="P52" s="1"/>
    </row>
    <row r="53" spans="1:17" x14ac:dyDescent="0.25">
      <c r="A53" s="1">
        <v>45417</v>
      </c>
      <c r="B53" t="s">
        <v>243</v>
      </c>
      <c r="C53" t="s">
        <v>307</v>
      </c>
      <c r="D53" t="s">
        <v>110</v>
      </c>
      <c r="E53" t="s">
        <v>62</v>
      </c>
      <c r="F53" t="s">
        <v>43</v>
      </c>
      <c r="G53" t="s">
        <v>19</v>
      </c>
      <c r="H53">
        <v>1</v>
      </c>
      <c r="I53">
        <v>5</v>
      </c>
      <c r="J53" t="s">
        <v>331</v>
      </c>
      <c r="K53">
        <v>1.9</v>
      </c>
      <c r="L53">
        <v>2.7</v>
      </c>
      <c r="M53">
        <v>55</v>
      </c>
      <c r="N53" s="2">
        <v>58000</v>
      </c>
      <c r="Q53" s="1"/>
    </row>
    <row r="54" spans="1:17" x14ac:dyDescent="0.25">
      <c r="A54" s="1">
        <v>45423</v>
      </c>
      <c r="B54" t="s">
        <v>303</v>
      </c>
      <c r="C54" t="s">
        <v>307</v>
      </c>
      <c r="D54" t="s">
        <v>111</v>
      </c>
      <c r="E54" t="s">
        <v>64</v>
      </c>
      <c r="F54" t="s">
        <v>44</v>
      </c>
      <c r="G54" t="s">
        <v>4</v>
      </c>
      <c r="H54">
        <v>1</v>
      </c>
      <c r="I54">
        <v>1</v>
      </c>
      <c r="J54" t="s">
        <v>332</v>
      </c>
      <c r="K54">
        <v>1.5</v>
      </c>
      <c r="L54">
        <v>0.4</v>
      </c>
      <c r="M54">
        <v>56</v>
      </c>
      <c r="N54" s="2">
        <v>54042</v>
      </c>
      <c r="P54" s="1"/>
      <c r="Q54" s="1"/>
    </row>
    <row r="55" spans="1:17" x14ac:dyDescent="0.25">
      <c r="A55" s="1">
        <v>45430</v>
      </c>
      <c r="B55" t="s">
        <v>303</v>
      </c>
      <c r="C55" t="s">
        <v>307</v>
      </c>
      <c r="D55" t="s">
        <v>112</v>
      </c>
      <c r="E55" t="s">
        <v>64</v>
      </c>
      <c r="F55" t="s">
        <v>43</v>
      </c>
      <c r="G55" t="s">
        <v>4</v>
      </c>
      <c r="H55">
        <v>2</v>
      </c>
      <c r="I55">
        <v>2</v>
      </c>
      <c r="J55" t="s">
        <v>333</v>
      </c>
      <c r="K55">
        <v>2.1</v>
      </c>
      <c r="L55">
        <v>1.6</v>
      </c>
      <c r="M55">
        <v>47</v>
      </c>
      <c r="N55" s="2">
        <v>57500</v>
      </c>
      <c r="P55" s="1"/>
    </row>
    <row r="57" spans="1:17" x14ac:dyDescent="0.25">
      <c r="A57" t="s">
        <v>291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FCA48-3053-4B24-B724-BE187B1F19D9}">
  <dimension ref="A1:Q27"/>
  <sheetViews>
    <sheetView workbookViewId="0">
      <selection activeCell="L30" sqref="L30"/>
    </sheetView>
  </sheetViews>
  <sheetFormatPr defaultRowHeight="15" x14ac:dyDescent="0.25"/>
  <cols>
    <col min="1" max="1" width="11.140625" customWidth="1"/>
  </cols>
  <sheetData>
    <row r="1" spans="1:17" x14ac:dyDescent="0.25">
      <c r="A1" t="s">
        <v>514</v>
      </c>
    </row>
    <row r="2" spans="1:17" x14ac:dyDescent="0.25">
      <c r="A2" t="s">
        <v>515</v>
      </c>
    </row>
    <row r="3" spans="1:17" x14ac:dyDescent="0.25">
      <c r="A3" t="s">
        <v>516</v>
      </c>
    </row>
    <row r="4" spans="1:17" x14ac:dyDescent="0.25">
      <c r="A4" t="s">
        <v>517</v>
      </c>
    </row>
    <row r="8" spans="1:17" x14ac:dyDescent="0.25">
      <c r="A8" t="s">
        <v>0</v>
      </c>
      <c r="B8" t="s">
        <v>1</v>
      </c>
      <c r="C8" t="s">
        <v>16</v>
      </c>
      <c r="D8" t="s">
        <v>51</v>
      </c>
      <c r="E8" t="s">
        <v>52</v>
      </c>
      <c r="F8" t="s">
        <v>53</v>
      </c>
      <c r="G8" t="s">
        <v>54</v>
      </c>
      <c r="H8" t="s">
        <v>20</v>
      </c>
      <c r="I8" t="s">
        <v>21</v>
      </c>
      <c r="J8" t="s">
        <v>45</v>
      </c>
      <c r="K8" t="s">
        <v>55</v>
      </c>
      <c r="L8" t="s">
        <v>56</v>
      </c>
      <c r="M8" t="s">
        <v>57</v>
      </c>
      <c r="N8" t="s">
        <v>24</v>
      </c>
    </row>
    <row r="9" spans="1:17" x14ac:dyDescent="0.25">
      <c r="A9" s="1">
        <v>45523</v>
      </c>
      <c r="B9" t="s">
        <v>156</v>
      </c>
      <c r="C9" t="s">
        <v>304</v>
      </c>
      <c r="D9" t="s">
        <v>305</v>
      </c>
      <c r="E9" t="s">
        <v>117</v>
      </c>
      <c r="F9" t="s">
        <v>44</v>
      </c>
      <c r="G9" t="s">
        <v>18</v>
      </c>
      <c r="H9">
        <v>4</v>
      </c>
      <c r="I9">
        <v>1</v>
      </c>
      <c r="J9" t="s">
        <v>518</v>
      </c>
      <c r="M9">
        <v>58</v>
      </c>
      <c r="N9" s="2">
        <v>21201</v>
      </c>
      <c r="Q9" s="1"/>
    </row>
    <row r="10" spans="1:17" x14ac:dyDescent="0.25">
      <c r="A10" s="1">
        <v>45528</v>
      </c>
      <c r="B10" t="s">
        <v>157</v>
      </c>
      <c r="C10" t="s">
        <v>307</v>
      </c>
      <c r="D10" t="s">
        <v>59</v>
      </c>
      <c r="E10" t="s">
        <v>64</v>
      </c>
      <c r="F10" t="s">
        <v>44</v>
      </c>
      <c r="G10" t="s">
        <v>19</v>
      </c>
      <c r="H10">
        <v>0</v>
      </c>
      <c r="I10">
        <v>2</v>
      </c>
      <c r="J10" t="s">
        <v>321</v>
      </c>
      <c r="K10">
        <v>1.4</v>
      </c>
      <c r="L10">
        <v>1.7</v>
      </c>
      <c r="M10">
        <v>31</v>
      </c>
      <c r="N10" s="2">
        <v>81365</v>
      </c>
      <c r="Q10" s="1"/>
    </row>
    <row r="11" spans="1:17" x14ac:dyDescent="0.25">
      <c r="A11" s="1">
        <v>45535</v>
      </c>
      <c r="B11" t="s">
        <v>303</v>
      </c>
      <c r="C11" t="s">
        <v>307</v>
      </c>
      <c r="D11" t="s">
        <v>61</v>
      </c>
      <c r="E11" t="s">
        <v>64</v>
      </c>
      <c r="F11" t="s">
        <v>43</v>
      </c>
      <c r="G11" t="s">
        <v>18</v>
      </c>
      <c r="H11">
        <v>3</v>
      </c>
      <c r="I11">
        <v>1</v>
      </c>
      <c r="J11" t="s">
        <v>319</v>
      </c>
      <c r="K11">
        <v>2.4</v>
      </c>
      <c r="L11">
        <v>1</v>
      </c>
      <c r="M11">
        <v>50</v>
      </c>
      <c r="N11" s="2">
        <v>57100</v>
      </c>
      <c r="P11" s="1"/>
    </row>
    <row r="12" spans="1:17" x14ac:dyDescent="0.25">
      <c r="A12" s="1">
        <v>45549</v>
      </c>
      <c r="B12" t="s">
        <v>303</v>
      </c>
      <c r="C12" t="s">
        <v>307</v>
      </c>
      <c r="D12" t="s">
        <v>63</v>
      </c>
      <c r="E12" t="s">
        <v>64</v>
      </c>
      <c r="F12" t="s">
        <v>44</v>
      </c>
      <c r="G12" t="s">
        <v>18</v>
      </c>
      <c r="H12">
        <v>2</v>
      </c>
      <c r="I12">
        <v>1</v>
      </c>
      <c r="J12" t="s">
        <v>316</v>
      </c>
      <c r="K12">
        <v>2.5</v>
      </c>
      <c r="L12">
        <v>1.5</v>
      </c>
      <c r="M12">
        <v>40</v>
      </c>
      <c r="N12" s="2">
        <v>26281</v>
      </c>
      <c r="P12" s="1"/>
    </row>
    <row r="13" spans="1:17" x14ac:dyDescent="0.25">
      <c r="A13" s="1">
        <v>45556</v>
      </c>
      <c r="B13" t="s">
        <v>157</v>
      </c>
      <c r="C13" t="s">
        <v>307</v>
      </c>
      <c r="D13" t="s">
        <v>66</v>
      </c>
      <c r="E13" t="s">
        <v>64</v>
      </c>
      <c r="F13" t="s">
        <v>43</v>
      </c>
      <c r="G13" t="s">
        <v>18</v>
      </c>
      <c r="H13">
        <v>2</v>
      </c>
      <c r="I13">
        <v>0</v>
      </c>
      <c r="J13" t="s">
        <v>332</v>
      </c>
      <c r="K13">
        <v>2.7</v>
      </c>
      <c r="L13">
        <v>1.7</v>
      </c>
      <c r="M13">
        <v>37</v>
      </c>
      <c r="N13" s="2">
        <v>58000</v>
      </c>
      <c r="P13" s="1"/>
    </row>
    <row r="14" spans="1:17" x14ac:dyDescent="0.25">
      <c r="A14" s="1">
        <v>45561</v>
      </c>
      <c r="B14" t="s">
        <v>181</v>
      </c>
      <c r="C14" t="s">
        <v>193</v>
      </c>
      <c r="D14" t="s">
        <v>511</v>
      </c>
      <c r="E14" t="s">
        <v>85</v>
      </c>
      <c r="F14" t="s">
        <v>43</v>
      </c>
      <c r="G14" t="s">
        <v>4</v>
      </c>
      <c r="H14">
        <v>3</v>
      </c>
      <c r="I14">
        <v>3</v>
      </c>
      <c r="J14" t="s">
        <v>519</v>
      </c>
      <c r="K14">
        <v>1.4</v>
      </c>
      <c r="L14">
        <v>1.2</v>
      </c>
      <c r="M14">
        <v>67</v>
      </c>
      <c r="N14" s="2">
        <v>56500</v>
      </c>
      <c r="P14" s="1"/>
      <c r="Q14" s="1"/>
    </row>
    <row r="15" spans="1:17" x14ac:dyDescent="0.25">
      <c r="A15" s="1">
        <v>45564</v>
      </c>
      <c r="B15" t="s">
        <v>303</v>
      </c>
      <c r="C15" t="s">
        <v>307</v>
      </c>
      <c r="D15" t="s">
        <v>68</v>
      </c>
      <c r="E15" t="s">
        <v>62</v>
      </c>
      <c r="F15" t="s">
        <v>44</v>
      </c>
      <c r="G15" t="s">
        <v>18</v>
      </c>
      <c r="H15">
        <v>4</v>
      </c>
      <c r="I15">
        <v>2</v>
      </c>
      <c r="J15" t="s">
        <v>520</v>
      </c>
      <c r="K15">
        <v>2.1</v>
      </c>
      <c r="L15">
        <v>1.1000000000000001</v>
      </c>
      <c r="M15">
        <v>53</v>
      </c>
      <c r="N15" s="2">
        <v>15034</v>
      </c>
      <c r="Q15" s="1"/>
    </row>
    <row r="16" spans="1:17" x14ac:dyDescent="0.25">
      <c r="A16" s="1">
        <v>45568</v>
      </c>
      <c r="B16" t="s">
        <v>203</v>
      </c>
      <c r="C16" t="s">
        <v>193</v>
      </c>
      <c r="D16" t="s">
        <v>511</v>
      </c>
      <c r="E16" t="s">
        <v>85</v>
      </c>
      <c r="F16" t="s">
        <v>44</v>
      </c>
      <c r="G16" t="s">
        <v>18</v>
      </c>
      <c r="H16">
        <v>3</v>
      </c>
      <c r="I16">
        <v>1</v>
      </c>
      <c r="J16" t="s">
        <v>521</v>
      </c>
      <c r="K16">
        <v>2.2999999999999998</v>
      </c>
      <c r="L16">
        <v>2.2999999999999998</v>
      </c>
      <c r="M16">
        <v>35</v>
      </c>
      <c r="N16" s="2">
        <v>35305</v>
      </c>
      <c r="P16" s="1"/>
    </row>
    <row r="17" spans="1:17" x14ac:dyDescent="0.25">
      <c r="A17" s="1">
        <v>45571</v>
      </c>
      <c r="B17" t="s">
        <v>243</v>
      </c>
      <c r="C17" t="s">
        <v>307</v>
      </c>
      <c r="D17" t="s">
        <v>71</v>
      </c>
      <c r="E17" t="s">
        <v>62</v>
      </c>
      <c r="F17" t="s">
        <v>43</v>
      </c>
      <c r="G17" t="s">
        <v>4</v>
      </c>
      <c r="H17">
        <v>3</v>
      </c>
      <c r="I17">
        <v>3</v>
      </c>
      <c r="J17" t="s">
        <v>329</v>
      </c>
      <c r="K17">
        <v>1.2</v>
      </c>
      <c r="L17">
        <v>2.2000000000000002</v>
      </c>
      <c r="M17">
        <v>26</v>
      </c>
      <c r="N17" s="2">
        <v>58000</v>
      </c>
      <c r="P17" s="1"/>
    </row>
    <row r="18" spans="1:17" x14ac:dyDescent="0.25">
      <c r="A18" s="1">
        <v>45584</v>
      </c>
      <c r="B18" t="s">
        <v>303</v>
      </c>
      <c r="C18" t="s">
        <v>307</v>
      </c>
      <c r="D18" t="s">
        <v>72</v>
      </c>
      <c r="E18" t="s">
        <v>64</v>
      </c>
      <c r="F18" t="s">
        <v>44</v>
      </c>
      <c r="G18" t="s">
        <v>19</v>
      </c>
      <c r="H18">
        <v>1</v>
      </c>
      <c r="I18">
        <v>2</v>
      </c>
      <c r="J18" t="s">
        <v>331</v>
      </c>
      <c r="K18">
        <v>1.9</v>
      </c>
      <c r="L18">
        <v>3.8</v>
      </c>
      <c r="M18">
        <v>46</v>
      </c>
      <c r="N18" s="2">
        <v>30210</v>
      </c>
      <c r="P18" s="1"/>
      <c r="Q18" s="1"/>
    </row>
    <row r="19" spans="1:17" x14ac:dyDescent="0.25">
      <c r="A19" s="1">
        <v>45589</v>
      </c>
      <c r="B19" t="s">
        <v>251</v>
      </c>
      <c r="C19" t="s">
        <v>193</v>
      </c>
      <c r="D19" t="s">
        <v>511</v>
      </c>
      <c r="E19" t="s">
        <v>85</v>
      </c>
      <c r="F19" t="s">
        <v>43</v>
      </c>
      <c r="G19" t="s">
        <v>18</v>
      </c>
      <c r="H19">
        <v>1</v>
      </c>
      <c r="I19">
        <v>0</v>
      </c>
      <c r="J19" t="s">
        <v>522</v>
      </c>
      <c r="K19">
        <v>0.9</v>
      </c>
      <c r="L19">
        <v>0.5</v>
      </c>
      <c r="M19">
        <v>59</v>
      </c>
      <c r="P19" s="1"/>
      <c r="Q19" s="1"/>
    </row>
    <row r="20" spans="1:17" x14ac:dyDescent="0.25">
      <c r="A20" s="1">
        <v>45592</v>
      </c>
      <c r="B20" t="s">
        <v>335</v>
      </c>
      <c r="C20" t="s">
        <v>307</v>
      </c>
      <c r="D20" t="s">
        <v>74</v>
      </c>
      <c r="E20" t="s">
        <v>62</v>
      </c>
      <c r="F20" t="s">
        <v>44</v>
      </c>
      <c r="G20" t="s">
        <v>4</v>
      </c>
      <c r="H20">
        <v>1</v>
      </c>
      <c r="I20">
        <v>1</v>
      </c>
      <c r="J20" t="s">
        <v>323</v>
      </c>
      <c r="K20">
        <v>1.5</v>
      </c>
      <c r="L20">
        <v>1.4</v>
      </c>
      <c r="M20">
        <v>52</v>
      </c>
      <c r="N20" s="2">
        <v>22012</v>
      </c>
      <c r="P20" s="1"/>
      <c r="Q20" s="1"/>
    </row>
    <row r="21" spans="1:17" x14ac:dyDescent="0.25">
      <c r="A21" s="1">
        <v>45595</v>
      </c>
      <c r="B21" t="s">
        <v>380</v>
      </c>
      <c r="C21" t="s">
        <v>304</v>
      </c>
      <c r="D21" t="s">
        <v>77</v>
      </c>
      <c r="E21" t="s">
        <v>92</v>
      </c>
      <c r="F21" t="s">
        <v>43</v>
      </c>
      <c r="G21" t="s">
        <v>18</v>
      </c>
      <c r="H21">
        <v>2</v>
      </c>
      <c r="I21">
        <v>1</v>
      </c>
      <c r="J21" t="s">
        <v>332</v>
      </c>
      <c r="M21">
        <v>40</v>
      </c>
      <c r="N21" s="2">
        <v>58000</v>
      </c>
      <c r="P21" s="1"/>
    </row>
    <row r="22" spans="1:17" x14ac:dyDescent="0.25">
      <c r="A22" s="1">
        <v>45598</v>
      </c>
      <c r="B22" t="s">
        <v>287</v>
      </c>
      <c r="C22" t="s">
        <v>307</v>
      </c>
      <c r="D22" t="s">
        <v>75</v>
      </c>
      <c r="E22" t="s">
        <v>64</v>
      </c>
      <c r="F22" t="s">
        <v>43</v>
      </c>
      <c r="G22" t="s">
        <v>18</v>
      </c>
      <c r="H22">
        <v>7</v>
      </c>
      <c r="I22">
        <v>2</v>
      </c>
      <c r="J22" t="s">
        <v>313</v>
      </c>
      <c r="K22">
        <v>3.5</v>
      </c>
      <c r="L22">
        <v>1.8</v>
      </c>
      <c r="M22">
        <v>64</v>
      </c>
      <c r="N22" s="2">
        <v>58000</v>
      </c>
      <c r="P22" s="1"/>
      <c r="Q22" s="1"/>
    </row>
    <row r="23" spans="1:17" x14ac:dyDescent="0.25">
      <c r="A23" s="1">
        <v>45603</v>
      </c>
      <c r="B23" t="s">
        <v>251</v>
      </c>
      <c r="C23" t="s">
        <v>193</v>
      </c>
      <c r="D23" t="s">
        <v>511</v>
      </c>
      <c r="E23" t="s">
        <v>85</v>
      </c>
      <c r="F23" t="s">
        <v>43</v>
      </c>
      <c r="G23" t="s">
        <v>18</v>
      </c>
      <c r="H23">
        <v>1</v>
      </c>
      <c r="I23">
        <v>0</v>
      </c>
      <c r="J23" t="s">
        <v>210</v>
      </c>
      <c r="K23">
        <v>0.9</v>
      </c>
      <c r="L23">
        <v>1.1000000000000001</v>
      </c>
      <c r="M23">
        <v>47</v>
      </c>
      <c r="N23" s="2">
        <v>57350</v>
      </c>
      <c r="P23" s="1"/>
      <c r="Q23" s="1"/>
    </row>
    <row r="24" spans="1:17" x14ac:dyDescent="0.25">
      <c r="A24" s="1">
        <v>45606</v>
      </c>
      <c r="B24" t="s">
        <v>243</v>
      </c>
      <c r="C24" t="s">
        <v>307</v>
      </c>
      <c r="D24" t="s">
        <v>79</v>
      </c>
      <c r="E24" t="s">
        <v>62</v>
      </c>
      <c r="F24" t="s">
        <v>44</v>
      </c>
      <c r="G24" t="s">
        <v>18</v>
      </c>
      <c r="H24">
        <v>3</v>
      </c>
      <c r="I24">
        <v>2</v>
      </c>
      <c r="J24" t="s">
        <v>326</v>
      </c>
      <c r="K24">
        <v>1.3</v>
      </c>
      <c r="L24">
        <v>2.5</v>
      </c>
      <c r="M24">
        <v>40</v>
      </c>
      <c r="N24" s="2">
        <v>60000</v>
      </c>
      <c r="P24" s="1"/>
    </row>
    <row r="25" spans="1:17" x14ac:dyDescent="0.25">
      <c r="A25" s="1">
        <v>45619</v>
      </c>
      <c r="B25" t="s">
        <v>157</v>
      </c>
      <c r="C25" t="s">
        <v>307</v>
      </c>
      <c r="D25" t="s">
        <v>81</v>
      </c>
      <c r="E25" t="s">
        <v>64</v>
      </c>
      <c r="F25" t="s">
        <v>43</v>
      </c>
      <c r="G25" t="s">
        <v>18</v>
      </c>
      <c r="H25">
        <v>1</v>
      </c>
      <c r="I25">
        <v>0</v>
      </c>
      <c r="J25" t="s">
        <v>325</v>
      </c>
      <c r="K25">
        <v>1.1000000000000001</v>
      </c>
      <c r="L25">
        <v>0.4</v>
      </c>
      <c r="M25">
        <v>50</v>
      </c>
      <c r="N25" s="2">
        <v>58000</v>
      </c>
      <c r="P25" s="1"/>
      <c r="Q25" s="1"/>
    </row>
    <row r="26" spans="1:17" x14ac:dyDescent="0.25">
      <c r="A26" s="1">
        <v>45624</v>
      </c>
      <c r="B26" t="s">
        <v>181</v>
      </c>
      <c r="C26" t="s">
        <v>193</v>
      </c>
      <c r="D26" t="s">
        <v>511</v>
      </c>
      <c r="E26" t="s">
        <v>85</v>
      </c>
      <c r="F26" t="s">
        <v>44</v>
      </c>
      <c r="G26" t="s">
        <v>18</v>
      </c>
      <c r="H26">
        <v>2</v>
      </c>
      <c r="I26">
        <v>1</v>
      </c>
      <c r="J26" t="s">
        <v>523</v>
      </c>
      <c r="K26">
        <v>2.5</v>
      </c>
      <c r="L26">
        <v>0.8</v>
      </c>
      <c r="M26">
        <v>57</v>
      </c>
      <c r="P26" s="1"/>
    </row>
    <row r="27" spans="1:17" x14ac:dyDescent="0.25">
      <c r="A27" s="1">
        <v>45627</v>
      </c>
      <c r="B27" t="s">
        <v>243</v>
      </c>
      <c r="C27" t="s">
        <v>307</v>
      </c>
      <c r="D27" t="s">
        <v>83</v>
      </c>
      <c r="E27" t="s">
        <v>62</v>
      </c>
      <c r="F27" t="s">
        <v>44</v>
      </c>
      <c r="J27" t="s">
        <v>318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58C6-FF07-4E39-91A6-8FCAFDF6D7A6}">
  <dimension ref="A1:Q52"/>
  <sheetViews>
    <sheetView workbookViewId="0">
      <selection activeCell="O1" sqref="O1:W1048576"/>
    </sheetView>
  </sheetViews>
  <sheetFormatPr defaultRowHeight="15" x14ac:dyDescent="0.25"/>
  <cols>
    <col min="1" max="1" width="11.28515625" customWidth="1"/>
  </cols>
  <sheetData>
    <row r="1" spans="1:17" x14ac:dyDescent="0.25">
      <c r="A1" t="s">
        <v>407</v>
      </c>
    </row>
    <row r="2" spans="1:17" x14ac:dyDescent="0.25">
      <c r="A2" t="s">
        <v>408</v>
      </c>
    </row>
    <row r="3" spans="1:17" x14ac:dyDescent="0.25">
      <c r="A3" t="s">
        <v>409</v>
      </c>
    </row>
    <row r="4" spans="1:17" x14ac:dyDescent="0.25">
      <c r="A4" t="s">
        <v>410</v>
      </c>
    </row>
    <row r="7" spans="1:17" x14ac:dyDescent="0.25">
      <c r="A7" t="s">
        <v>0</v>
      </c>
      <c r="B7" t="s">
        <v>1</v>
      </c>
      <c r="C7" t="s">
        <v>16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 t="s">
        <v>45</v>
      </c>
      <c r="K7" t="s">
        <v>55</v>
      </c>
      <c r="L7" t="s">
        <v>56</v>
      </c>
      <c r="M7" t="s">
        <v>57</v>
      </c>
      <c r="N7" t="s">
        <v>24</v>
      </c>
    </row>
    <row r="8" spans="1:17" x14ac:dyDescent="0.25">
      <c r="A8" s="1">
        <v>42953</v>
      </c>
      <c r="B8" t="s">
        <v>411</v>
      </c>
      <c r="C8" t="s">
        <v>412</v>
      </c>
      <c r="D8" t="s">
        <v>59</v>
      </c>
      <c r="E8" t="s">
        <v>62</v>
      </c>
      <c r="F8" t="s">
        <v>43</v>
      </c>
      <c r="G8" t="s">
        <v>18</v>
      </c>
      <c r="H8">
        <v>3</v>
      </c>
      <c r="I8">
        <v>0</v>
      </c>
      <c r="J8" t="s">
        <v>413</v>
      </c>
      <c r="K8">
        <v>1.9</v>
      </c>
      <c r="L8">
        <v>1.3</v>
      </c>
      <c r="M8">
        <v>62</v>
      </c>
      <c r="N8" s="2">
        <v>30683</v>
      </c>
      <c r="P8" s="1"/>
      <c r="Q8" s="1"/>
    </row>
    <row r="9" spans="1:17" x14ac:dyDescent="0.25">
      <c r="A9" s="1">
        <v>42960</v>
      </c>
      <c r="B9" t="s">
        <v>411</v>
      </c>
      <c r="C9" t="s">
        <v>412</v>
      </c>
      <c r="D9" t="s">
        <v>61</v>
      </c>
      <c r="E9" t="s">
        <v>62</v>
      </c>
      <c r="F9" t="s">
        <v>44</v>
      </c>
      <c r="G9" t="s">
        <v>19</v>
      </c>
      <c r="H9">
        <v>0</v>
      </c>
      <c r="I9">
        <v>3</v>
      </c>
      <c r="J9" t="s">
        <v>414</v>
      </c>
      <c r="K9">
        <v>0.9</v>
      </c>
      <c r="L9">
        <v>3.1</v>
      </c>
      <c r="M9">
        <v>53</v>
      </c>
      <c r="N9" s="2">
        <v>25591</v>
      </c>
      <c r="P9" s="1"/>
    </row>
    <row r="10" spans="1:17" x14ac:dyDescent="0.25">
      <c r="A10" s="1">
        <v>42967</v>
      </c>
      <c r="B10" t="s">
        <v>411</v>
      </c>
      <c r="C10" t="s">
        <v>412</v>
      </c>
      <c r="D10" t="s">
        <v>63</v>
      </c>
      <c r="E10" t="s">
        <v>62</v>
      </c>
      <c r="F10" t="s">
        <v>43</v>
      </c>
      <c r="G10" t="s">
        <v>19</v>
      </c>
      <c r="H10">
        <v>0</v>
      </c>
      <c r="I10">
        <v>2</v>
      </c>
      <c r="J10" t="s">
        <v>415</v>
      </c>
      <c r="K10">
        <v>0.7</v>
      </c>
      <c r="L10">
        <v>1.8</v>
      </c>
      <c r="M10">
        <v>64</v>
      </c>
      <c r="N10" s="2">
        <v>28740</v>
      </c>
    </row>
    <row r="11" spans="1:17" x14ac:dyDescent="0.25">
      <c r="A11" s="1">
        <v>42974</v>
      </c>
      <c r="B11" t="s">
        <v>244</v>
      </c>
      <c r="C11" t="s">
        <v>412</v>
      </c>
      <c r="D11" t="s">
        <v>66</v>
      </c>
      <c r="E11" t="s">
        <v>62</v>
      </c>
      <c r="F11" t="s">
        <v>44</v>
      </c>
      <c r="G11" t="s">
        <v>4</v>
      </c>
      <c r="H11">
        <v>1</v>
      </c>
      <c r="I11">
        <v>1</v>
      </c>
      <c r="J11" t="s">
        <v>416</v>
      </c>
      <c r="K11">
        <v>0.8</v>
      </c>
      <c r="L11">
        <v>0.8</v>
      </c>
      <c r="M11">
        <v>56</v>
      </c>
      <c r="N11" s="2">
        <v>10284</v>
      </c>
    </row>
    <row r="12" spans="1:17" x14ac:dyDescent="0.25">
      <c r="A12" s="1">
        <v>42986</v>
      </c>
      <c r="B12" t="s">
        <v>162</v>
      </c>
      <c r="C12" t="s">
        <v>412</v>
      </c>
      <c r="D12" t="s">
        <v>68</v>
      </c>
      <c r="E12" t="s">
        <v>60</v>
      </c>
      <c r="F12" t="s">
        <v>43</v>
      </c>
      <c r="G12" t="s">
        <v>4</v>
      </c>
      <c r="H12">
        <v>0</v>
      </c>
      <c r="I12">
        <v>0</v>
      </c>
      <c r="J12" t="s">
        <v>417</v>
      </c>
      <c r="K12">
        <v>0.4</v>
      </c>
      <c r="L12">
        <v>1</v>
      </c>
      <c r="M12">
        <v>41</v>
      </c>
      <c r="N12" s="2">
        <v>27464</v>
      </c>
      <c r="Q12" s="1"/>
    </row>
    <row r="13" spans="1:17" x14ac:dyDescent="0.25">
      <c r="A13" s="1">
        <v>42994</v>
      </c>
      <c r="B13" t="s">
        <v>155</v>
      </c>
      <c r="C13" t="s">
        <v>412</v>
      </c>
      <c r="D13" t="s">
        <v>71</v>
      </c>
      <c r="E13" t="s">
        <v>64</v>
      </c>
      <c r="F13" t="s">
        <v>44</v>
      </c>
      <c r="G13" t="s">
        <v>19</v>
      </c>
      <c r="H13">
        <v>0</v>
      </c>
      <c r="I13">
        <v>1</v>
      </c>
      <c r="J13" t="s">
        <v>418</v>
      </c>
      <c r="K13">
        <v>0.5</v>
      </c>
      <c r="L13">
        <v>1.6</v>
      </c>
      <c r="M13">
        <v>56</v>
      </c>
      <c r="N13" s="2">
        <v>11901</v>
      </c>
      <c r="P13" s="1"/>
      <c r="Q13" s="1"/>
    </row>
    <row r="14" spans="1:17" x14ac:dyDescent="0.25">
      <c r="A14" s="1">
        <v>43000</v>
      </c>
      <c r="B14" t="s">
        <v>156</v>
      </c>
      <c r="C14" t="s">
        <v>412</v>
      </c>
      <c r="D14" t="s">
        <v>72</v>
      </c>
      <c r="E14" t="s">
        <v>60</v>
      </c>
      <c r="F14" t="s">
        <v>43</v>
      </c>
      <c r="G14" t="s">
        <v>19</v>
      </c>
      <c r="H14">
        <v>0</v>
      </c>
      <c r="I14">
        <v>4</v>
      </c>
      <c r="J14" t="s">
        <v>419</v>
      </c>
      <c r="K14">
        <v>1.2</v>
      </c>
      <c r="L14">
        <v>2.7</v>
      </c>
      <c r="M14">
        <v>62</v>
      </c>
      <c r="N14" s="2">
        <v>34146</v>
      </c>
      <c r="P14" s="1"/>
      <c r="Q14" s="1"/>
    </row>
    <row r="15" spans="1:17" x14ac:dyDescent="0.25">
      <c r="A15" s="1">
        <v>43022</v>
      </c>
      <c r="B15" t="s">
        <v>155</v>
      </c>
      <c r="C15" t="s">
        <v>412</v>
      </c>
      <c r="D15" t="s">
        <v>75</v>
      </c>
      <c r="E15" t="s">
        <v>64</v>
      </c>
      <c r="F15" t="s">
        <v>43</v>
      </c>
      <c r="G15" t="s">
        <v>4</v>
      </c>
      <c r="H15">
        <v>2</v>
      </c>
      <c r="I15">
        <v>2</v>
      </c>
      <c r="J15" t="s">
        <v>420</v>
      </c>
      <c r="K15">
        <v>1.3</v>
      </c>
      <c r="L15">
        <v>1.5</v>
      </c>
      <c r="M15">
        <v>71</v>
      </c>
      <c r="N15" s="2">
        <v>29518</v>
      </c>
    </row>
    <row r="16" spans="1:17" x14ac:dyDescent="0.25">
      <c r="A16" s="1">
        <v>43029</v>
      </c>
      <c r="B16" t="s">
        <v>155</v>
      </c>
      <c r="C16" t="s">
        <v>412</v>
      </c>
      <c r="D16" t="s">
        <v>79</v>
      </c>
      <c r="E16" t="s">
        <v>64</v>
      </c>
      <c r="F16" t="s">
        <v>44</v>
      </c>
      <c r="G16" t="s">
        <v>19</v>
      </c>
      <c r="H16">
        <v>0</v>
      </c>
      <c r="I16">
        <v>1</v>
      </c>
      <c r="J16" t="s">
        <v>421</v>
      </c>
      <c r="K16">
        <v>0.7</v>
      </c>
      <c r="L16">
        <v>0.7</v>
      </c>
      <c r="M16">
        <v>64</v>
      </c>
      <c r="N16" s="2">
        <v>21852</v>
      </c>
    </row>
    <row r="17" spans="1:17" x14ac:dyDescent="0.25">
      <c r="A17" s="1">
        <v>43033</v>
      </c>
      <c r="B17" t="s">
        <v>251</v>
      </c>
      <c r="C17" t="s">
        <v>422</v>
      </c>
      <c r="D17" t="s">
        <v>423</v>
      </c>
      <c r="E17" t="s">
        <v>92</v>
      </c>
      <c r="F17" t="s">
        <v>43</v>
      </c>
      <c r="G17" t="s">
        <v>4</v>
      </c>
      <c r="H17" t="s">
        <v>424</v>
      </c>
      <c r="I17" t="s">
        <v>425</v>
      </c>
      <c r="J17" t="s">
        <v>426</v>
      </c>
      <c r="N17" s="2">
        <v>30643</v>
      </c>
      <c r="Q17" s="1"/>
    </row>
    <row r="18" spans="1:17" x14ac:dyDescent="0.25">
      <c r="A18" s="1">
        <v>43037</v>
      </c>
      <c r="B18" t="s">
        <v>198</v>
      </c>
      <c r="C18" t="s">
        <v>412</v>
      </c>
      <c r="D18" t="s">
        <v>81</v>
      </c>
      <c r="E18" t="s">
        <v>62</v>
      </c>
      <c r="F18" t="s">
        <v>43</v>
      </c>
      <c r="G18" t="s">
        <v>19</v>
      </c>
      <c r="H18">
        <v>0</v>
      </c>
      <c r="I18">
        <v>1</v>
      </c>
      <c r="J18" t="s">
        <v>427</v>
      </c>
      <c r="K18">
        <v>1</v>
      </c>
      <c r="L18">
        <v>0.8</v>
      </c>
      <c r="M18">
        <v>63</v>
      </c>
      <c r="N18" s="2">
        <v>43948</v>
      </c>
    </row>
    <row r="19" spans="1:17" x14ac:dyDescent="0.25">
      <c r="A19" s="1">
        <v>43044</v>
      </c>
      <c r="B19" t="s">
        <v>244</v>
      </c>
      <c r="C19" t="s">
        <v>412</v>
      </c>
      <c r="D19" t="s">
        <v>83</v>
      </c>
      <c r="E19" t="s">
        <v>62</v>
      </c>
      <c r="F19" t="s">
        <v>44</v>
      </c>
      <c r="G19" t="s">
        <v>18</v>
      </c>
      <c r="H19">
        <v>3</v>
      </c>
      <c r="I19">
        <v>0</v>
      </c>
      <c r="J19" t="s">
        <v>428</v>
      </c>
      <c r="K19">
        <v>1.5</v>
      </c>
      <c r="L19">
        <v>2.2000000000000002</v>
      </c>
      <c r="M19">
        <v>60</v>
      </c>
      <c r="N19" s="2">
        <v>12506</v>
      </c>
    </row>
    <row r="20" spans="1:17" x14ac:dyDescent="0.25">
      <c r="A20" s="1">
        <v>43056</v>
      </c>
      <c r="B20" t="s">
        <v>162</v>
      </c>
      <c r="C20" t="s">
        <v>412</v>
      </c>
      <c r="D20" t="s">
        <v>84</v>
      </c>
      <c r="E20" t="s">
        <v>60</v>
      </c>
      <c r="F20" t="s">
        <v>43</v>
      </c>
      <c r="G20" t="s">
        <v>18</v>
      </c>
      <c r="H20">
        <v>3</v>
      </c>
      <c r="I20">
        <v>1</v>
      </c>
      <c r="J20" t="s">
        <v>429</v>
      </c>
      <c r="K20">
        <v>0.7</v>
      </c>
      <c r="L20">
        <v>1.4</v>
      </c>
      <c r="M20">
        <v>63</v>
      </c>
      <c r="N20" s="2">
        <v>28019</v>
      </c>
    </row>
    <row r="21" spans="1:17" x14ac:dyDescent="0.25">
      <c r="A21" s="1">
        <v>43059</v>
      </c>
      <c r="B21" t="s">
        <v>162</v>
      </c>
      <c r="C21" t="s">
        <v>412</v>
      </c>
      <c r="D21" t="s">
        <v>74</v>
      </c>
      <c r="E21" t="s">
        <v>117</v>
      </c>
      <c r="F21" t="s">
        <v>44</v>
      </c>
      <c r="G21" t="s">
        <v>19</v>
      </c>
      <c r="H21">
        <v>0</v>
      </c>
      <c r="I21">
        <v>3</v>
      </c>
      <c r="J21" t="s">
        <v>430</v>
      </c>
      <c r="K21">
        <v>0.5</v>
      </c>
      <c r="L21">
        <v>1.2</v>
      </c>
      <c r="M21">
        <v>66</v>
      </c>
      <c r="N21" s="2">
        <v>9015</v>
      </c>
      <c r="P21" s="1"/>
    </row>
    <row r="22" spans="1:17" x14ac:dyDescent="0.25">
      <c r="A22" s="1">
        <v>43064</v>
      </c>
      <c r="B22" t="s">
        <v>155</v>
      </c>
      <c r="C22" t="s">
        <v>412</v>
      </c>
      <c r="D22" t="s">
        <v>86</v>
      </c>
      <c r="E22" t="s">
        <v>64</v>
      </c>
      <c r="F22" t="s">
        <v>44</v>
      </c>
      <c r="G22" t="s">
        <v>19</v>
      </c>
      <c r="H22">
        <v>0</v>
      </c>
      <c r="I22">
        <v>3</v>
      </c>
      <c r="J22" t="s">
        <v>431</v>
      </c>
      <c r="K22">
        <v>0.4</v>
      </c>
      <c r="L22">
        <v>1.9</v>
      </c>
      <c r="M22">
        <v>62</v>
      </c>
      <c r="N22" s="2">
        <v>11370</v>
      </c>
    </row>
    <row r="23" spans="1:17" x14ac:dyDescent="0.25">
      <c r="A23" s="1">
        <v>43068</v>
      </c>
      <c r="B23" t="s">
        <v>162</v>
      </c>
      <c r="C23" t="s">
        <v>412</v>
      </c>
      <c r="D23" t="s">
        <v>87</v>
      </c>
      <c r="E23" t="s">
        <v>92</v>
      </c>
      <c r="F23" t="s">
        <v>44</v>
      </c>
      <c r="G23" t="s">
        <v>18</v>
      </c>
      <c r="H23">
        <v>2</v>
      </c>
      <c r="I23">
        <v>1</v>
      </c>
      <c r="J23" t="s">
        <v>432</v>
      </c>
      <c r="K23">
        <v>1</v>
      </c>
      <c r="L23">
        <v>3.1</v>
      </c>
      <c r="M23">
        <v>41</v>
      </c>
      <c r="N23" s="2">
        <v>31679</v>
      </c>
    </row>
    <row r="24" spans="1:17" x14ac:dyDescent="0.25">
      <c r="A24" s="1">
        <v>43071</v>
      </c>
      <c r="B24" t="s">
        <v>155</v>
      </c>
      <c r="C24" t="s">
        <v>412</v>
      </c>
      <c r="D24" t="s">
        <v>88</v>
      </c>
      <c r="E24" t="s">
        <v>64</v>
      </c>
      <c r="F24" t="s">
        <v>43</v>
      </c>
      <c r="G24" t="s">
        <v>18</v>
      </c>
      <c r="H24">
        <v>1</v>
      </c>
      <c r="I24">
        <v>0</v>
      </c>
      <c r="J24" t="s">
        <v>433</v>
      </c>
      <c r="K24">
        <v>0.7</v>
      </c>
      <c r="L24">
        <v>1.2</v>
      </c>
      <c r="M24">
        <v>49</v>
      </c>
      <c r="N24" s="2">
        <v>29287</v>
      </c>
      <c r="P24" s="1"/>
    </row>
    <row r="25" spans="1:17" x14ac:dyDescent="0.25">
      <c r="A25" s="1">
        <v>43078</v>
      </c>
      <c r="B25" t="s">
        <v>244</v>
      </c>
      <c r="C25" t="s">
        <v>412</v>
      </c>
      <c r="D25" t="s">
        <v>90</v>
      </c>
      <c r="E25" t="s">
        <v>64</v>
      </c>
      <c r="F25" t="s">
        <v>44</v>
      </c>
      <c r="G25" t="s">
        <v>19</v>
      </c>
      <c r="H25">
        <v>1</v>
      </c>
      <c r="I25">
        <v>3</v>
      </c>
      <c r="J25" t="s">
        <v>434</v>
      </c>
      <c r="K25">
        <v>0.6</v>
      </c>
      <c r="L25">
        <v>1.4</v>
      </c>
      <c r="M25">
        <v>38</v>
      </c>
      <c r="N25" s="2">
        <v>47176</v>
      </c>
      <c r="Q25" s="1"/>
    </row>
    <row r="26" spans="1:17" x14ac:dyDescent="0.25">
      <c r="A26" s="1">
        <v>43082</v>
      </c>
      <c r="B26" t="s">
        <v>435</v>
      </c>
      <c r="C26" t="s">
        <v>422</v>
      </c>
      <c r="D26" t="s">
        <v>91</v>
      </c>
      <c r="E26" t="s">
        <v>92</v>
      </c>
      <c r="F26" t="s">
        <v>43</v>
      </c>
      <c r="G26" t="s">
        <v>4</v>
      </c>
      <c r="H26" t="s">
        <v>436</v>
      </c>
      <c r="I26" t="s">
        <v>164</v>
      </c>
      <c r="J26" t="s">
        <v>437</v>
      </c>
      <c r="N26" s="2">
        <v>9651</v>
      </c>
      <c r="P26" s="1"/>
      <c r="Q26" s="1"/>
    </row>
    <row r="27" spans="1:17" x14ac:dyDescent="0.25">
      <c r="A27" s="1">
        <v>43085</v>
      </c>
      <c r="B27" t="s">
        <v>155</v>
      </c>
      <c r="C27" t="s">
        <v>412</v>
      </c>
      <c r="D27" t="s">
        <v>93</v>
      </c>
      <c r="E27" t="s">
        <v>64</v>
      </c>
      <c r="F27" t="s">
        <v>44</v>
      </c>
      <c r="G27" t="s">
        <v>19</v>
      </c>
      <c r="H27">
        <v>0</v>
      </c>
      <c r="I27">
        <v>3</v>
      </c>
      <c r="J27" t="s">
        <v>438</v>
      </c>
      <c r="K27">
        <v>0.7</v>
      </c>
      <c r="L27">
        <v>0.6</v>
      </c>
      <c r="M27">
        <v>54</v>
      </c>
      <c r="N27" s="2">
        <v>10634</v>
      </c>
      <c r="P27" s="1"/>
      <c r="Q27" s="1"/>
    </row>
    <row r="28" spans="1:17" x14ac:dyDescent="0.25">
      <c r="A28" s="1">
        <v>43089</v>
      </c>
      <c r="B28" t="s">
        <v>439</v>
      </c>
      <c r="C28" t="s">
        <v>412</v>
      </c>
      <c r="D28" t="s">
        <v>94</v>
      </c>
      <c r="E28" t="s">
        <v>92</v>
      </c>
      <c r="F28" t="s">
        <v>43</v>
      </c>
      <c r="G28" t="s">
        <v>4</v>
      </c>
      <c r="H28">
        <v>1</v>
      </c>
      <c r="I28">
        <v>1</v>
      </c>
      <c r="J28" t="s">
        <v>437</v>
      </c>
      <c r="K28">
        <v>0.8</v>
      </c>
      <c r="L28">
        <v>0.9</v>
      </c>
      <c r="M28">
        <v>50</v>
      </c>
      <c r="N28" s="2">
        <v>26450</v>
      </c>
      <c r="Q28" s="1"/>
    </row>
    <row r="29" spans="1:17" x14ac:dyDescent="0.25">
      <c r="A29" s="1">
        <v>43106</v>
      </c>
      <c r="B29" t="s">
        <v>411</v>
      </c>
      <c r="C29" t="s">
        <v>440</v>
      </c>
      <c r="D29" t="s">
        <v>305</v>
      </c>
      <c r="E29" t="s">
        <v>64</v>
      </c>
      <c r="F29" t="s">
        <v>44</v>
      </c>
      <c r="G29" t="s">
        <v>18</v>
      </c>
      <c r="H29">
        <v>4</v>
      </c>
      <c r="I29">
        <v>2</v>
      </c>
      <c r="J29" t="s">
        <v>441</v>
      </c>
      <c r="N29" s="2">
        <v>20983</v>
      </c>
    </row>
    <row r="30" spans="1:17" x14ac:dyDescent="0.25">
      <c r="A30" s="1">
        <v>43113</v>
      </c>
      <c r="B30" t="s">
        <v>155</v>
      </c>
      <c r="C30" t="s">
        <v>412</v>
      </c>
      <c r="D30" t="s">
        <v>97</v>
      </c>
      <c r="E30" t="s">
        <v>64</v>
      </c>
      <c r="F30" t="s">
        <v>44</v>
      </c>
      <c r="G30" t="s">
        <v>18</v>
      </c>
      <c r="H30">
        <v>1</v>
      </c>
      <c r="I30">
        <v>0</v>
      </c>
      <c r="J30" t="s">
        <v>415</v>
      </c>
      <c r="K30">
        <v>1.3</v>
      </c>
      <c r="L30">
        <v>1.4</v>
      </c>
      <c r="M30">
        <v>59</v>
      </c>
      <c r="N30" s="2">
        <v>18283</v>
      </c>
      <c r="Q30" s="1"/>
    </row>
    <row r="31" spans="1:17" x14ac:dyDescent="0.25">
      <c r="A31" s="1">
        <v>43117</v>
      </c>
      <c r="B31" t="s">
        <v>162</v>
      </c>
      <c r="C31" t="s">
        <v>412</v>
      </c>
      <c r="D31" t="s">
        <v>98</v>
      </c>
      <c r="E31" t="s">
        <v>92</v>
      </c>
      <c r="F31" t="s">
        <v>43</v>
      </c>
      <c r="G31" t="s">
        <v>19</v>
      </c>
      <c r="H31">
        <v>1</v>
      </c>
      <c r="I31">
        <v>2</v>
      </c>
      <c r="J31" t="s">
        <v>421</v>
      </c>
      <c r="K31">
        <v>0.6</v>
      </c>
      <c r="L31">
        <v>1.8</v>
      </c>
      <c r="M31">
        <v>44</v>
      </c>
      <c r="N31" s="2">
        <v>27816</v>
      </c>
    </row>
    <row r="32" spans="1:17" x14ac:dyDescent="0.25">
      <c r="A32" s="1">
        <v>43120</v>
      </c>
      <c r="B32" t="s">
        <v>155</v>
      </c>
      <c r="C32" t="s">
        <v>412</v>
      </c>
      <c r="D32" t="s">
        <v>100</v>
      </c>
      <c r="E32" t="s">
        <v>64</v>
      </c>
      <c r="F32" t="s">
        <v>44</v>
      </c>
      <c r="G32" t="s">
        <v>19</v>
      </c>
      <c r="H32">
        <v>0</v>
      </c>
      <c r="I32">
        <v>1</v>
      </c>
      <c r="J32" t="s">
        <v>420</v>
      </c>
      <c r="K32">
        <v>0.6</v>
      </c>
      <c r="L32">
        <v>0.8</v>
      </c>
      <c r="M32">
        <v>62</v>
      </c>
      <c r="N32" s="2">
        <v>9269</v>
      </c>
    </row>
    <row r="33" spans="1:17" x14ac:dyDescent="0.25">
      <c r="A33" s="1">
        <v>43125</v>
      </c>
      <c r="B33" t="s">
        <v>181</v>
      </c>
      <c r="C33" t="s">
        <v>440</v>
      </c>
      <c r="D33" t="s">
        <v>77</v>
      </c>
      <c r="E33" t="s">
        <v>85</v>
      </c>
      <c r="F33" t="s">
        <v>44</v>
      </c>
      <c r="G33" t="s">
        <v>19</v>
      </c>
      <c r="H33">
        <v>1</v>
      </c>
      <c r="I33">
        <v>2</v>
      </c>
      <c r="J33" t="s">
        <v>414</v>
      </c>
      <c r="N33" s="2">
        <v>10097</v>
      </c>
    </row>
    <row r="34" spans="1:17" x14ac:dyDescent="0.25">
      <c r="A34" s="1">
        <v>43128</v>
      </c>
      <c r="B34" t="s">
        <v>411</v>
      </c>
      <c r="C34" t="s">
        <v>412</v>
      </c>
      <c r="D34" t="s">
        <v>101</v>
      </c>
      <c r="E34" t="s">
        <v>62</v>
      </c>
      <c r="F34" t="s">
        <v>43</v>
      </c>
      <c r="G34" t="s">
        <v>18</v>
      </c>
      <c r="H34">
        <v>2</v>
      </c>
      <c r="I34">
        <v>1</v>
      </c>
      <c r="J34" t="s">
        <v>414</v>
      </c>
      <c r="K34">
        <v>0.8</v>
      </c>
      <c r="L34">
        <v>1.2</v>
      </c>
      <c r="M34">
        <v>58</v>
      </c>
      <c r="N34" s="2">
        <v>27462</v>
      </c>
      <c r="P34" s="1"/>
    </row>
    <row r="35" spans="1:17" x14ac:dyDescent="0.25">
      <c r="A35" s="1">
        <v>43134</v>
      </c>
      <c r="B35" t="s">
        <v>244</v>
      </c>
      <c r="C35" t="s">
        <v>412</v>
      </c>
      <c r="D35" t="s">
        <v>102</v>
      </c>
      <c r="E35" t="s">
        <v>64</v>
      </c>
      <c r="F35" t="s">
        <v>43</v>
      </c>
      <c r="G35" t="s">
        <v>19</v>
      </c>
      <c r="H35">
        <v>0</v>
      </c>
      <c r="I35">
        <v>3</v>
      </c>
      <c r="J35" t="s">
        <v>434</v>
      </c>
      <c r="K35">
        <v>0.3</v>
      </c>
      <c r="L35">
        <v>1.7</v>
      </c>
      <c r="M35">
        <v>31</v>
      </c>
      <c r="N35" s="2">
        <v>49082</v>
      </c>
      <c r="Q35" s="1"/>
    </row>
    <row r="36" spans="1:17" x14ac:dyDescent="0.25">
      <c r="A36" s="1">
        <v>43142</v>
      </c>
      <c r="B36" t="s">
        <v>244</v>
      </c>
      <c r="C36" t="s">
        <v>412</v>
      </c>
      <c r="D36" t="s">
        <v>103</v>
      </c>
      <c r="E36" t="s">
        <v>62</v>
      </c>
      <c r="F36" t="s">
        <v>44</v>
      </c>
      <c r="G36" t="s">
        <v>4</v>
      </c>
      <c r="H36">
        <v>2</v>
      </c>
      <c r="I36">
        <v>2</v>
      </c>
      <c r="J36" t="s">
        <v>413</v>
      </c>
      <c r="K36">
        <v>0.4</v>
      </c>
      <c r="L36">
        <v>2.1</v>
      </c>
      <c r="M36">
        <v>60</v>
      </c>
      <c r="N36" s="2">
        <v>22655</v>
      </c>
    </row>
    <row r="37" spans="1:17" x14ac:dyDescent="0.25">
      <c r="A37" s="1">
        <v>43149</v>
      </c>
      <c r="B37" t="s">
        <v>244</v>
      </c>
      <c r="C37" t="s">
        <v>412</v>
      </c>
      <c r="D37" t="s">
        <v>104</v>
      </c>
      <c r="E37" t="s">
        <v>62</v>
      </c>
      <c r="F37" t="s">
        <v>43</v>
      </c>
      <c r="G37" t="s">
        <v>4</v>
      </c>
      <c r="H37">
        <v>2</v>
      </c>
      <c r="I37">
        <v>2</v>
      </c>
      <c r="J37" t="s">
        <v>432</v>
      </c>
      <c r="K37">
        <v>0.7</v>
      </c>
      <c r="L37">
        <v>2</v>
      </c>
      <c r="M37">
        <v>46</v>
      </c>
      <c r="N37" s="2">
        <v>39523</v>
      </c>
      <c r="P37" s="1"/>
      <c r="Q37" s="1"/>
    </row>
    <row r="38" spans="1:17" x14ac:dyDescent="0.25">
      <c r="A38" t="s">
        <v>0</v>
      </c>
      <c r="B38" t="s">
        <v>1</v>
      </c>
      <c r="C38" t="s">
        <v>16</v>
      </c>
      <c r="D38" t="s">
        <v>51</v>
      </c>
      <c r="E38" t="s">
        <v>52</v>
      </c>
      <c r="F38" t="s">
        <v>53</v>
      </c>
      <c r="G38" t="s">
        <v>54</v>
      </c>
      <c r="H38" t="s">
        <v>20</v>
      </c>
      <c r="I38" t="s">
        <v>21</v>
      </c>
      <c r="J38" t="s">
        <v>45</v>
      </c>
      <c r="K38" t="s">
        <v>55</v>
      </c>
      <c r="L38" t="s">
        <v>56</v>
      </c>
      <c r="M38" t="s">
        <v>57</v>
      </c>
      <c r="N38" t="s">
        <v>24</v>
      </c>
    </row>
    <row r="39" spans="1:17" x14ac:dyDescent="0.25">
      <c r="A39" s="1">
        <v>43155</v>
      </c>
      <c r="B39" t="s">
        <v>155</v>
      </c>
      <c r="C39" t="s">
        <v>412</v>
      </c>
      <c r="D39" t="s">
        <v>105</v>
      </c>
      <c r="E39" t="s">
        <v>64</v>
      </c>
      <c r="F39" t="s">
        <v>43</v>
      </c>
      <c r="G39" t="s">
        <v>19</v>
      </c>
      <c r="H39">
        <v>1</v>
      </c>
      <c r="I39">
        <v>2</v>
      </c>
      <c r="J39" t="s">
        <v>416</v>
      </c>
      <c r="K39">
        <v>0.8</v>
      </c>
      <c r="L39">
        <v>1.6</v>
      </c>
      <c r="M39">
        <v>67</v>
      </c>
      <c r="N39" s="2">
        <v>28629</v>
      </c>
    </row>
    <row r="40" spans="1:17" x14ac:dyDescent="0.25">
      <c r="A40" s="1">
        <v>43161</v>
      </c>
      <c r="B40" t="s">
        <v>162</v>
      </c>
      <c r="C40" t="s">
        <v>412</v>
      </c>
      <c r="D40" t="s">
        <v>106</v>
      </c>
      <c r="E40" t="s">
        <v>60</v>
      </c>
      <c r="F40" t="s">
        <v>44</v>
      </c>
      <c r="G40" t="s">
        <v>19</v>
      </c>
      <c r="H40">
        <v>1</v>
      </c>
      <c r="I40">
        <v>2</v>
      </c>
      <c r="J40" t="s">
        <v>437</v>
      </c>
      <c r="K40">
        <v>0.9</v>
      </c>
      <c r="L40">
        <v>1.8</v>
      </c>
      <c r="M40">
        <v>45</v>
      </c>
      <c r="N40" s="2">
        <v>20314</v>
      </c>
      <c r="Q40" s="1"/>
    </row>
    <row r="41" spans="1:17" x14ac:dyDescent="0.25">
      <c r="A41" s="1">
        <v>43169</v>
      </c>
      <c r="B41" t="s">
        <v>155</v>
      </c>
      <c r="C41" t="s">
        <v>412</v>
      </c>
      <c r="D41" t="s">
        <v>107</v>
      </c>
      <c r="E41" t="s">
        <v>64</v>
      </c>
      <c r="F41" t="s">
        <v>43</v>
      </c>
      <c r="G41" t="s">
        <v>4</v>
      </c>
      <c r="H41">
        <v>1</v>
      </c>
      <c r="I41">
        <v>1</v>
      </c>
      <c r="J41" t="s">
        <v>431</v>
      </c>
      <c r="K41">
        <v>0.7</v>
      </c>
      <c r="L41">
        <v>0.8</v>
      </c>
      <c r="M41">
        <v>46</v>
      </c>
      <c r="N41" s="2">
        <v>28609</v>
      </c>
      <c r="P41" s="1"/>
      <c r="Q41" s="1"/>
    </row>
    <row r="42" spans="1:17" x14ac:dyDescent="0.25">
      <c r="A42" s="1">
        <v>43175</v>
      </c>
      <c r="B42" t="s">
        <v>180</v>
      </c>
      <c r="C42" t="s">
        <v>412</v>
      </c>
      <c r="D42" t="s">
        <v>108</v>
      </c>
      <c r="E42" t="s">
        <v>60</v>
      </c>
      <c r="F42" t="s">
        <v>44</v>
      </c>
      <c r="G42" t="s">
        <v>19</v>
      </c>
      <c r="H42">
        <v>1</v>
      </c>
      <c r="I42">
        <v>2</v>
      </c>
      <c r="J42" t="s">
        <v>419</v>
      </c>
      <c r="K42">
        <v>0.9</v>
      </c>
      <c r="L42">
        <v>1.7</v>
      </c>
      <c r="M42">
        <v>54</v>
      </c>
      <c r="N42" s="2">
        <v>7147</v>
      </c>
      <c r="P42" s="1"/>
    </row>
    <row r="43" spans="1:17" x14ac:dyDescent="0.25">
      <c r="A43" s="1">
        <v>43191</v>
      </c>
      <c r="B43" t="s">
        <v>244</v>
      </c>
      <c r="C43" t="s">
        <v>412</v>
      </c>
      <c r="D43" t="s">
        <v>109</v>
      </c>
      <c r="E43" t="s">
        <v>62</v>
      </c>
      <c r="F43" t="s">
        <v>43</v>
      </c>
      <c r="G43" t="s">
        <v>19</v>
      </c>
      <c r="H43">
        <v>0</v>
      </c>
      <c r="I43">
        <v>1</v>
      </c>
      <c r="J43" t="s">
        <v>430</v>
      </c>
      <c r="K43">
        <v>0.7</v>
      </c>
      <c r="L43">
        <v>1.2</v>
      </c>
      <c r="M43">
        <v>61</v>
      </c>
      <c r="P43" s="1"/>
    </row>
    <row r="44" spans="1:17" x14ac:dyDescent="0.25">
      <c r="A44" s="1">
        <v>43197</v>
      </c>
      <c r="B44" t="s">
        <v>155</v>
      </c>
      <c r="C44" t="s">
        <v>412</v>
      </c>
      <c r="D44" t="s">
        <v>110</v>
      </c>
      <c r="E44" t="s">
        <v>64</v>
      </c>
      <c r="F44" t="s">
        <v>44</v>
      </c>
      <c r="G44" t="s">
        <v>19</v>
      </c>
      <c r="H44">
        <v>1</v>
      </c>
      <c r="I44">
        <v>2</v>
      </c>
      <c r="J44" t="s">
        <v>417</v>
      </c>
      <c r="K44">
        <v>0.7</v>
      </c>
      <c r="L44">
        <v>2.1</v>
      </c>
      <c r="M44">
        <v>35</v>
      </c>
      <c r="N44" s="2">
        <v>34997</v>
      </c>
      <c r="P44" s="1"/>
      <c r="Q44" s="1"/>
    </row>
    <row r="45" spans="1:17" x14ac:dyDescent="0.25">
      <c r="A45" s="1">
        <v>43204</v>
      </c>
      <c r="B45" t="s">
        <v>155</v>
      </c>
      <c r="C45" t="s">
        <v>412</v>
      </c>
      <c r="D45" t="s">
        <v>111</v>
      </c>
      <c r="E45" t="s">
        <v>64</v>
      </c>
      <c r="F45" t="s">
        <v>43</v>
      </c>
      <c r="G45" t="s">
        <v>4</v>
      </c>
      <c r="H45">
        <v>2</v>
      </c>
      <c r="I45">
        <v>2</v>
      </c>
      <c r="J45" t="s">
        <v>418</v>
      </c>
      <c r="K45">
        <v>1.9</v>
      </c>
      <c r="L45">
        <v>0.5</v>
      </c>
      <c r="M45">
        <v>50</v>
      </c>
      <c r="N45" s="2">
        <v>33461</v>
      </c>
    </row>
    <row r="46" spans="1:17" x14ac:dyDescent="0.25">
      <c r="A46" s="1">
        <v>43211</v>
      </c>
      <c r="B46" t="s">
        <v>244</v>
      </c>
      <c r="C46" t="s">
        <v>412</v>
      </c>
      <c r="D46" t="s">
        <v>112</v>
      </c>
      <c r="E46" t="s">
        <v>64</v>
      </c>
      <c r="F46" t="s">
        <v>44</v>
      </c>
      <c r="G46" t="s">
        <v>19</v>
      </c>
      <c r="H46">
        <v>1</v>
      </c>
      <c r="I46">
        <v>5</v>
      </c>
      <c r="J46" t="s">
        <v>427</v>
      </c>
      <c r="K46">
        <v>1.1000000000000001</v>
      </c>
      <c r="L46">
        <v>2.9</v>
      </c>
      <c r="M46">
        <v>37</v>
      </c>
      <c r="N46" s="2">
        <v>51098</v>
      </c>
    </row>
    <row r="47" spans="1:17" x14ac:dyDescent="0.25">
      <c r="A47" s="1">
        <v>43218</v>
      </c>
      <c r="B47" t="s">
        <v>155</v>
      </c>
      <c r="C47" t="s">
        <v>412</v>
      </c>
      <c r="D47" t="s">
        <v>113</v>
      </c>
      <c r="E47" t="s">
        <v>64</v>
      </c>
      <c r="F47" t="s">
        <v>43</v>
      </c>
      <c r="G47" t="s">
        <v>18</v>
      </c>
      <c r="H47">
        <v>3</v>
      </c>
      <c r="I47">
        <v>1</v>
      </c>
      <c r="J47" t="s">
        <v>428</v>
      </c>
      <c r="K47">
        <v>2.1</v>
      </c>
      <c r="L47">
        <v>0.8</v>
      </c>
      <c r="M47">
        <v>50</v>
      </c>
      <c r="N47" s="2">
        <v>38429</v>
      </c>
    </row>
    <row r="48" spans="1:17" x14ac:dyDescent="0.25">
      <c r="A48" s="1">
        <v>43226</v>
      </c>
      <c r="B48" t="s">
        <v>244</v>
      </c>
      <c r="C48" t="s">
        <v>412</v>
      </c>
      <c r="D48" t="s">
        <v>114</v>
      </c>
      <c r="E48" t="s">
        <v>62</v>
      </c>
      <c r="F48" t="s">
        <v>44</v>
      </c>
      <c r="G48" t="s">
        <v>18</v>
      </c>
      <c r="H48">
        <v>3</v>
      </c>
      <c r="I48">
        <v>2</v>
      </c>
      <c r="J48" t="s">
        <v>433</v>
      </c>
      <c r="K48">
        <v>2.8</v>
      </c>
      <c r="L48">
        <v>0.8</v>
      </c>
      <c r="M48">
        <v>67</v>
      </c>
      <c r="N48" s="2">
        <v>26251</v>
      </c>
      <c r="Q48" s="1"/>
    </row>
    <row r="49" spans="1:14" x14ac:dyDescent="0.25">
      <c r="A49" s="1">
        <v>43232</v>
      </c>
      <c r="B49" t="s">
        <v>181</v>
      </c>
      <c r="C49" t="s">
        <v>412</v>
      </c>
      <c r="D49" t="s">
        <v>115</v>
      </c>
      <c r="E49" t="s">
        <v>64</v>
      </c>
      <c r="F49" t="s">
        <v>43</v>
      </c>
      <c r="G49" t="s">
        <v>18</v>
      </c>
      <c r="H49">
        <v>2</v>
      </c>
      <c r="I49">
        <v>1</v>
      </c>
      <c r="J49" t="s">
        <v>438</v>
      </c>
      <c r="K49">
        <v>2.2999999999999998</v>
      </c>
      <c r="L49">
        <v>1.6</v>
      </c>
      <c r="M49">
        <v>49</v>
      </c>
      <c r="N49" s="2">
        <v>46342</v>
      </c>
    </row>
    <row r="50" spans="1:14" x14ac:dyDescent="0.25">
      <c r="A50" s="1">
        <v>43239</v>
      </c>
      <c r="B50" t="s">
        <v>181</v>
      </c>
      <c r="C50" t="s">
        <v>412</v>
      </c>
      <c r="D50" t="s">
        <v>116</v>
      </c>
      <c r="E50" t="s">
        <v>64</v>
      </c>
      <c r="F50" t="s">
        <v>44</v>
      </c>
      <c r="G50" t="s">
        <v>19</v>
      </c>
      <c r="H50">
        <v>0</v>
      </c>
      <c r="I50">
        <v>5</v>
      </c>
      <c r="J50" t="s">
        <v>429</v>
      </c>
      <c r="K50">
        <v>0.5</v>
      </c>
      <c r="L50">
        <v>1.9</v>
      </c>
      <c r="M50">
        <v>47</v>
      </c>
      <c r="N50" s="2">
        <v>22665</v>
      </c>
    </row>
    <row r="52" spans="1:14" x14ac:dyDescent="0.25">
      <c r="A52" t="s">
        <v>406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3932-B545-4E80-BBD6-EF212B5A95F7}">
  <dimension ref="A1:Q52"/>
  <sheetViews>
    <sheetView workbookViewId="0">
      <selection activeCell="O1" sqref="O1:T1048576"/>
    </sheetView>
  </sheetViews>
  <sheetFormatPr defaultRowHeight="15" x14ac:dyDescent="0.25"/>
  <cols>
    <col min="1" max="1" width="12" customWidth="1"/>
  </cols>
  <sheetData>
    <row r="1" spans="1:17" x14ac:dyDescent="0.25">
      <c r="A1" t="s">
        <v>442</v>
      </c>
    </row>
    <row r="2" spans="1:17" x14ac:dyDescent="0.25">
      <c r="A2" t="s">
        <v>443</v>
      </c>
    </row>
    <row r="3" spans="1:17" x14ac:dyDescent="0.25">
      <c r="A3" t="s">
        <v>444</v>
      </c>
    </row>
    <row r="4" spans="1:17" x14ac:dyDescent="0.25">
      <c r="A4" t="s">
        <v>445</v>
      </c>
    </row>
    <row r="7" spans="1:17" x14ac:dyDescent="0.25">
      <c r="A7" t="s">
        <v>0</v>
      </c>
      <c r="B7" t="s">
        <v>1</v>
      </c>
      <c r="C7" t="s">
        <v>16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 t="s">
        <v>45</v>
      </c>
      <c r="K7" t="s">
        <v>55</v>
      </c>
      <c r="L7" t="s">
        <v>56</v>
      </c>
      <c r="M7" t="s">
        <v>57</v>
      </c>
      <c r="N7" t="s">
        <v>24</v>
      </c>
    </row>
    <row r="8" spans="1:17" x14ac:dyDescent="0.25">
      <c r="A8" s="1">
        <v>43323</v>
      </c>
      <c r="B8" t="s">
        <v>155</v>
      </c>
      <c r="C8" t="s">
        <v>412</v>
      </c>
      <c r="D8" t="s">
        <v>59</v>
      </c>
      <c r="E8" t="s">
        <v>64</v>
      </c>
      <c r="F8" t="s">
        <v>43</v>
      </c>
      <c r="G8" t="s">
        <v>18</v>
      </c>
      <c r="H8">
        <v>3</v>
      </c>
      <c r="I8">
        <v>1</v>
      </c>
      <c r="J8" t="s">
        <v>421</v>
      </c>
      <c r="K8">
        <v>1.7</v>
      </c>
      <c r="L8">
        <v>0.5</v>
      </c>
      <c r="M8">
        <v>56</v>
      </c>
      <c r="N8" s="2">
        <v>25708</v>
      </c>
    </row>
    <row r="9" spans="1:17" x14ac:dyDescent="0.25">
      <c r="A9" s="1">
        <v>43330</v>
      </c>
      <c r="B9" t="s">
        <v>155</v>
      </c>
      <c r="C9" t="s">
        <v>412</v>
      </c>
      <c r="D9" t="s">
        <v>61</v>
      </c>
      <c r="E9" t="s">
        <v>64</v>
      </c>
      <c r="F9" t="s">
        <v>44</v>
      </c>
      <c r="G9" t="s">
        <v>4</v>
      </c>
      <c r="H9">
        <v>0</v>
      </c>
      <c r="I9">
        <v>0</v>
      </c>
      <c r="J9" t="s">
        <v>419</v>
      </c>
      <c r="K9">
        <v>0.7</v>
      </c>
      <c r="L9">
        <v>1.4</v>
      </c>
      <c r="M9">
        <v>52</v>
      </c>
      <c r="N9" s="2">
        <v>11140</v>
      </c>
    </row>
    <row r="10" spans="1:17" x14ac:dyDescent="0.25">
      <c r="A10" s="1">
        <v>43338</v>
      </c>
      <c r="B10" t="s">
        <v>411</v>
      </c>
      <c r="C10" t="s">
        <v>412</v>
      </c>
      <c r="D10" t="s">
        <v>63</v>
      </c>
      <c r="E10" t="s">
        <v>62</v>
      </c>
      <c r="F10" t="s">
        <v>43</v>
      </c>
      <c r="G10" t="s">
        <v>18</v>
      </c>
      <c r="H10">
        <v>3</v>
      </c>
      <c r="I10">
        <v>0</v>
      </c>
      <c r="J10" t="s">
        <v>418</v>
      </c>
      <c r="K10">
        <v>2.1</v>
      </c>
      <c r="L10">
        <v>0.7</v>
      </c>
      <c r="M10">
        <v>48</v>
      </c>
      <c r="N10" s="2">
        <v>27230</v>
      </c>
    </row>
    <row r="11" spans="1:17" x14ac:dyDescent="0.25">
      <c r="A11" s="1">
        <v>43344</v>
      </c>
      <c r="B11" t="s">
        <v>155</v>
      </c>
      <c r="C11" t="s">
        <v>412</v>
      </c>
      <c r="D11" t="s">
        <v>66</v>
      </c>
      <c r="E11" t="s">
        <v>64</v>
      </c>
      <c r="F11" t="s">
        <v>44</v>
      </c>
      <c r="G11" t="s">
        <v>19</v>
      </c>
      <c r="H11">
        <v>0</v>
      </c>
      <c r="I11">
        <v>1</v>
      </c>
      <c r="J11" t="s">
        <v>416</v>
      </c>
      <c r="K11">
        <v>1.5</v>
      </c>
      <c r="L11">
        <v>0.7</v>
      </c>
      <c r="M11">
        <v>67</v>
      </c>
      <c r="N11" s="2">
        <v>9245</v>
      </c>
      <c r="Q11" s="1"/>
    </row>
    <row r="12" spans="1:17" x14ac:dyDescent="0.25">
      <c r="A12" s="1">
        <v>43358</v>
      </c>
      <c r="B12" t="s">
        <v>155</v>
      </c>
      <c r="C12" t="s">
        <v>412</v>
      </c>
      <c r="D12" t="s">
        <v>68</v>
      </c>
      <c r="E12" t="s">
        <v>64</v>
      </c>
      <c r="F12" t="s">
        <v>44</v>
      </c>
      <c r="G12" t="s">
        <v>18</v>
      </c>
      <c r="H12">
        <v>3</v>
      </c>
      <c r="I12">
        <v>2</v>
      </c>
      <c r="J12" t="s">
        <v>430</v>
      </c>
      <c r="K12">
        <v>3</v>
      </c>
      <c r="L12">
        <v>1.6</v>
      </c>
      <c r="M12">
        <v>53</v>
      </c>
      <c r="N12" s="2">
        <v>11569</v>
      </c>
      <c r="Q12" s="1"/>
    </row>
    <row r="13" spans="1:17" x14ac:dyDescent="0.25">
      <c r="A13" s="1">
        <v>43365</v>
      </c>
      <c r="B13" t="s">
        <v>244</v>
      </c>
      <c r="C13" t="s">
        <v>412</v>
      </c>
      <c r="D13" t="s">
        <v>71</v>
      </c>
      <c r="E13" t="s">
        <v>64</v>
      </c>
      <c r="F13" t="s">
        <v>43</v>
      </c>
      <c r="G13" t="s">
        <v>18</v>
      </c>
      <c r="H13">
        <v>2</v>
      </c>
      <c r="I13">
        <v>1</v>
      </c>
      <c r="J13" t="s">
        <v>413</v>
      </c>
      <c r="K13">
        <v>0.8</v>
      </c>
      <c r="L13">
        <v>1.8</v>
      </c>
      <c r="M13">
        <v>43</v>
      </c>
      <c r="N13" s="2">
        <v>27353</v>
      </c>
    </row>
    <row r="14" spans="1:17" x14ac:dyDescent="0.25">
      <c r="A14" s="1">
        <v>43369</v>
      </c>
      <c r="B14" t="s">
        <v>162</v>
      </c>
      <c r="C14" t="s">
        <v>412</v>
      </c>
      <c r="D14" t="s">
        <v>72</v>
      </c>
      <c r="E14" t="s">
        <v>92</v>
      </c>
      <c r="F14" t="s">
        <v>44</v>
      </c>
      <c r="G14" t="s">
        <v>19</v>
      </c>
      <c r="H14">
        <v>0</v>
      </c>
      <c r="I14">
        <v>1</v>
      </c>
      <c r="J14" t="s">
        <v>417</v>
      </c>
      <c r="K14">
        <v>1.9</v>
      </c>
      <c r="L14">
        <v>1</v>
      </c>
      <c r="M14">
        <v>64</v>
      </c>
      <c r="N14" s="2">
        <v>17395</v>
      </c>
    </row>
    <row r="15" spans="1:17" x14ac:dyDescent="0.25">
      <c r="A15" s="1">
        <v>43373</v>
      </c>
      <c r="B15" t="s">
        <v>181</v>
      </c>
      <c r="C15" t="s">
        <v>412</v>
      </c>
      <c r="D15" t="s">
        <v>74</v>
      </c>
      <c r="E15" t="s">
        <v>62</v>
      </c>
      <c r="F15" t="s">
        <v>43</v>
      </c>
      <c r="G15" t="s">
        <v>18</v>
      </c>
      <c r="H15">
        <v>3</v>
      </c>
      <c r="I15">
        <v>0</v>
      </c>
      <c r="J15" t="s">
        <v>427</v>
      </c>
      <c r="K15">
        <v>2.8</v>
      </c>
      <c r="L15">
        <v>0.5</v>
      </c>
      <c r="M15">
        <v>50</v>
      </c>
      <c r="N15" s="2">
        <v>41623</v>
      </c>
    </row>
    <row r="16" spans="1:17" x14ac:dyDescent="0.25">
      <c r="A16" s="1">
        <v>43379</v>
      </c>
      <c r="B16" t="s">
        <v>244</v>
      </c>
      <c r="C16" t="s">
        <v>412</v>
      </c>
      <c r="D16" t="s">
        <v>75</v>
      </c>
      <c r="E16" t="s">
        <v>64</v>
      </c>
      <c r="F16" t="s">
        <v>43</v>
      </c>
      <c r="G16" t="s">
        <v>18</v>
      </c>
      <c r="H16">
        <v>3</v>
      </c>
      <c r="I16">
        <v>1</v>
      </c>
      <c r="J16" t="s">
        <v>429</v>
      </c>
      <c r="K16">
        <v>0.8</v>
      </c>
      <c r="L16">
        <v>1.3</v>
      </c>
      <c r="M16">
        <v>47</v>
      </c>
      <c r="N16" s="2">
        <v>31263</v>
      </c>
      <c r="Q16" s="1"/>
    </row>
    <row r="17" spans="1:17" x14ac:dyDescent="0.25">
      <c r="A17" s="1">
        <v>43393</v>
      </c>
      <c r="B17" t="s">
        <v>155</v>
      </c>
      <c r="C17" t="s">
        <v>412</v>
      </c>
      <c r="D17" t="s">
        <v>79</v>
      </c>
      <c r="E17" t="s">
        <v>64</v>
      </c>
      <c r="F17" t="s">
        <v>44</v>
      </c>
      <c r="G17" t="s">
        <v>18</v>
      </c>
      <c r="H17">
        <v>2</v>
      </c>
      <c r="I17">
        <v>1</v>
      </c>
      <c r="J17" t="s">
        <v>438</v>
      </c>
      <c r="K17">
        <v>2</v>
      </c>
      <c r="L17">
        <v>1.6</v>
      </c>
      <c r="M17">
        <v>43</v>
      </c>
      <c r="N17" s="2">
        <v>13004</v>
      </c>
      <c r="Q17" s="1"/>
    </row>
    <row r="18" spans="1:17" x14ac:dyDescent="0.25">
      <c r="A18" s="1">
        <v>43400</v>
      </c>
      <c r="B18" t="s">
        <v>155</v>
      </c>
      <c r="C18" t="s">
        <v>412</v>
      </c>
      <c r="D18" t="s">
        <v>81</v>
      </c>
      <c r="E18" t="s">
        <v>64</v>
      </c>
      <c r="F18" t="s">
        <v>43</v>
      </c>
      <c r="G18" t="s">
        <v>18</v>
      </c>
      <c r="H18">
        <v>1</v>
      </c>
      <c r="I18">
        <v>0</v>
      </c>
      <c r="J18" t="s">
        <v>415</v>
      </c>
      <c r="K18">
        <v>0.6</v>
      </c>
      <c r="L18">
        <v>0.4</v>
      </c>
      <c r="M18">
        <v>57</v>
      </c>
      <c r="N18" s="2">
        <v>33362</v>
      </c>
      <c r="Q18" s="1"/>
    </row>
    <row r="19" spans="1:17" x14ac:dyDescent="0.25">
      <c r="A19" s="1">
        <v>43403</v>
      </c>
      <c r="B19" t="s">
        <v>446</v>
      </c>
      <c r="C19" t="s">
        <v>422</v>
      </c>
      <c r="D19" t="s">
        <v>423</v>
      </c>
      <c r="E19" t="s">
        <v>69</v>
      </c>
      <c r="F19" t="s">
        <v>44</v>
      </c>
      <c r="G19" t="s">
        <v>19</v>
      </c>
      <c r="H19">
        <v>0</v>
      </c>
      <c r="I19">
        <v>2</v>
      </c>
      <c r="J19" t="s">
        <v>414</v>
      </c>
      <c r="N19" s="2">
        <v>16821</v>
      </c>
    </row>
    <row r="20" spans="1:17" x14ac:dyDescent="0.25">
      <c r="A20" s="1">
        <v>43406</v>
      </c>
      <c r="B20" t="s">
        <v>180</v>
      </c>
      <c r="C20" t="s">
        <v>412</v>
      </c>
      <c r="D20" t="s">
        <v>83</v>
      </c>
      <c r="E20" t="s">
        <v>60</v>
      </c>
      <c r="F20" t="s">
        <v>44</v>
      </c>
      <c r="G20" t="s">
        <v>19</v>
      </c>
      <c r="H20">
        <v>1</v>
      </c>
      <c r="I20">
        <v>2</v>
      </c>
      <c r="J20" t="s">
        <v>434</v>
      </c>
      <c r="K20">
        <v>1</v>
      </c>
      <c r="L20">
        <v>1.9</v>
      </c>
      <c r="M20">
        <v>35</v>
      </c>
      <c r="N20" s="2">
        <v>47549</v>
      </c>
      <c r="Q20" s="1"/>
    </row>
    <row r="21" spans="1:17" x14ac:dyDescent="0.25">
      <c r="A21" s="1">
        <v>43413</v>
      </c>
      <c r="B21" t="s">
        <v>156</v>
      </c>
      <c r="C21" t="s">
        <v>412</v>
      </c>
      <c r="D21" t="s">
        <v>84</v>
      </c>
      <c r="E21" t="s">
        <v>60</v>
      </c>
      <c r="F21" t="s">
        <v>43</v>
      </c>
      <c r="G21" t="s">
        <v>4</v>
      </c>
      <c r="H21">
        <v>0</v>
      </c>
      <c r="I21">
        <v>0</v>
      </c>
      <c r="J21" t="s">
        <v>414</v>
      </c>
      <c r="K21">
        <v>1.4</v>
      </c>
      <c r="L21">
        <v>0.2</v>
      </c>
      <c r="M21">
        <v>72</v>
      </c>
      <c r="N21" s="2">
        <v>27544</v>
      </c>
      <c r="Q21" s="1"/>
    </row>
    <row r="22" spans="1:17" x14ac:dyDescent="0.25">
      <c r="A22" s="1">
        <v>43429</v>
      </c>
      <c r="B22" t="s">
        <v>244</v>
      </c>
      <c r="C22" t="s">
        <v>412</v>
      </c>
      <c r="D22" t="s">
        <v>86</v>
      </c>
      <c r="E22" t="s">
        <v>62</v>
      </c>
      <c r="F22" t="s">
        <v>44</v>
      </c>
      <c r="G22" t="s">
        <v>19</v>
      </c>
      <c r="H22">
        <v>0</v>
      </c>
      <c r="I22">
        <v>2</v>
      </c>
      <c r="J22" t="s">
        <v>437</v>
      </c>
      <c r="K22">
        <v>0.4</v>
      </c>
      <c r="L22">
        <v>1.1000000000000001</v>
      </c>
      <c r="M22">
        <v>51</v>
      </c>
      <c r="N22" s="2">
        <v>18211</v>
      </c>
      <c r="Q22" s="1"/>
    </row>
    <row r="23" spans="1:17" x14ac:dyDescent="0.25">
      <c r="A23" s="1">
        <v>43435</v>
      </c>
      <c r="B23" t="s">
        <v>244</v>
      </c>
      <c r="C23" t="s">
        <v>412</v>
      </c>
      <c r="D23" t="s">
        <v>87</v>
      </c>
      <c r="E23" t="s">
        <v>64</v>
      </c>
      <c r="F23" t="s">
        <v>43</v>
      </c>
      <c r="G23" t="s">
        <v>4</v>
      </c>
      <c r="H23">
        <v>2</v>
      </c>
      <c r="I23">
        <v>2</v>
      </c>
      <c r="J23" t="s">
        <v>432</v>
      </c>
      <c r="K23">
        <v>1</v>
      </c>
      <c r="L23">
        <v>2.9</v>
      </c>
      <c r="M23">
        <v>30</v>
      </c>
      <c r="N23" s="2">
        <v>38755</v>
      </c>
    </row>
    <row r="24" spans="1:17" x14ac:dyDescent="0.25">
      <c r="A24" s="1">
        <v>43438</v>
      </c>
      <c r="B24" t="s">
        <v>181</v>
      </c>
      <c r="C24" t="s">
        <v>412</v>
      </c>
      <c r="D24" t="s">
        <v>88</v>
      </c>
      <c r="E24" t="s">
        <v>69</v>
      </c>
      <c r="F24" t="s">
        <v>44</v>
      </c>
      <c r="G24" t="s">
        <v>18</v>
      </c>
      <c r="H24">
        <v>1</v>
      </c>
      <c r="I24">
        <v>0</v>
      </c>
      <c r="J24" t="s">
        <v>431</v>
      </c>
      <c r="K24">
        <v>1.6</v>
      </c>
      <c r="L24">
        <v>1.3</v>
      </c>
      <c r="M24">
        <v>43</v>
      </c>
      <c r="N24" s="2">
        <v>12486</v>
      </c>
    </row>
    <row r="25" spans="1:17" x14ac:dyDescent="0.25">
      <c r="A25" s="1">
        <v>43443</v>
      </c>
      <c r="B25" t="s">
        <v>244</v>
      </c>
      <c r="C25" t="s">
        <v>412</v>
      </c>
      <c r="D25" t="s">
        <v>90</v>
      </c>
      <c r="E25" t="s">
        <v>62</v>
      </c>
      <c r="F25" t="s">
        <v>43</v>
      </c>
      <c r="G25" t="s">
        <v>4</v>
      </c>
      <c r="H25">
        <v>1</v>
      </c>
      <c r="I25">
        <v>1</v>
      </c>
      <c r="J25" t="s">
        <v>447</v>
      </c>
      <c r="K25">
        <v>1.5</v>
      </c>
      <c r="L25">
        <v>1.3</v>
      </c>
      <c r="M25">
        <v>66</v>
      </c>
      <c r="N25" s="2">
        <v>26826</v>
      </c>
      <c r="Q25" s="1"/>
    </row>
    <row r="26" spans="1:17" x14ac:dyDescent="0.25">
      <c r="A26" s="1">
        <v>43450</v>
      </c>
      <c r="B26" t="s">
        <v>411</v>
      </c>
      <c r="C26" t="s">
        <v>412</v>
      </c>
      <c r="D26" t="s">
        <v>93</v>
      </c>
      <c r="E26" t="s">
        <v>62</v>
      </c>
      <c r="F26" t="s">
        <v>44</v>
      </c>
      <c r="G26" t="s">
        <v>18</v>
      </c>
      <c r="H26">
        <v>3</v>
      </c>
      <c r="I26">
        <v>2</v>
      </c>
      <c r="J26" t="s">
        <v>448</v>
      </c>
      <c r="K26">
        <v>0.6</v>
      </c>
      <c r="L26">
        <v>1</v>
      </c>
      <c r="M26">
        <v>33</v>
      </c>
      <c r="N26" s="2">
        <v>13428</v>
      </c>
      <c r="Q26" s="1"/>
    </row>
    <row r="27" spans="1:17" x14ac:dyDescent="0.25">
      <c r="A27" s="1">
        <v>43456</v>
      </c>
      <c r="B27" t="s">
        <v>181</v>
      </c>
      <c r="C27" t="s">
        <v>412</v>
      </c>
      <c r="D27" t="s">
        <v>94</v>
      </c>
      <c r="E27" t="s">
        <v>64</v>
      </c>
      <c r="F27" t="s">
        <v>43</v>
      </c>
      <c r="G27" t="s">
        <v>19</v>
      </c>
      <c r="H27">
        <v>1</v>
      </c>
      <c r="I27">
        <v>2</v>
      </c>
      <c r="J27" t="s">
        <v>433</v>
      </c>
      <c r="K27">
        <v>1.4</v>
      </c>
      <c r="L27">
        <v>1.7</v>
      </c>
      <c r="M27">
        <v>58</v>
      </c>
      <c r="N27" s="2">
        <v>30186</v>
      </c>
    </row>
    <row r="28" spans="1:17" x14ac:dyDescent="0.25">
      <c r="A28" s="1">
        <v>43472</v>
      </c>
      <c r="B28" t="s">
        <v>449</v>
      </c>
      <c r="C28" t="s">
        <v>440</v>
      </c>
      <c r="D28" t="s">
        <v>305</v>
      </c>
      <c r="E28" t="s">
        <v>117</v>
      </c>
      <c r="F28" t="s">
        <v>43</v>
      </c>
      <c r="G28" t="s">
        <v>18</v>
      </c>
      <c r="H28">
        <v>1</v>
      </c>
      <c r="I28">
        <v>0</v>
      </c>
      <c r="J28" t="s">
        <v>450</v>
      </c>
      <c r="M28">
        <v>63</v>
      </c>
      <c r="N28" s="2">
        <v>12374</v>
      </c>
    </row>
    <row r="29" spans="1:17" x14ac:dyDescent="0.25">
      <c r="A29" s="1">
        <v>43476</v>
      </c>
      <c r="B29" t="s">
        <v>162</v>
      </c>
      <c r="C29" t="s">
        <v>412</v>
      </c>
      <c r="D29" t="s">
        <v>97</v>
      </c>
      <c r="E29" t="s">
        <v>60</v>
      </c>
      <c r="F29" t="s">
        <v>44</v>
      </c>
      <c r="G29" t="s">
        <v>18</v>
      </c>
      <c r="H29">
        <v>3</v>
      </c>
      <c r="I29">
        <v>1</v>
      </c>
      <c r="J29" t="s">
        <v>415</v>
      </c>
      <c r="K29">
        <v>2.8</v>
      </c>
      <c r="L29">
        <v>1.3</v>
      </c>
      <c r="M29">
        <v>44</v>
      </c>
      <c r="N29" s="2">
        <v>16018</v>
      </c>
    </row>
    <row r="30" spans="1:17" x14ac:dyDescent="0.25">
      <c r="A30" s="1">
        <v>43483</v>
      </c>
      <c r="B30" t="s">
        <v>156</v>
      </c>
      <c r="C30" t="s">
        <v>412</v>
      </c>
      <c r="D30" t="s">
        <v>98</v>
      </c>
      <c r="E30" t="s">
        <v>60</v>
      </c>
      <c r="F30" t="s">
        <v>43</v>
      </c>
      <c r="G30" t="s">
        <v>18</v>
      </c>
      <c r="H30">
        <v>2</v>
      </c>
      <c r="I30">
        <v>1</v>
      </c>
      <c r="J30" t="s">
        <v>430</v>
      </c>
      <c r="K30">
        <v>2.2000000000000002</v>
      </c>
      <c r="L30">
        <v>0.4</v>
      </c>
      <c r="M30">
        <v>62</v>
      </c>
      <c r="N30" s="2">
        <v>27211</v>
      </c>
      <c r="Q30" s="1"/>
    </row>
    <row r="31" spans="1:17" x14ac:dyDescent="0.25">
      <c r="A31" s="1">
        <v>43487</v>
      </c>
      <c r="B31" t="s">
        <v>181</v>
      </c>
      <c r="C31" t="s">
        <v>440</v>
      </c>
      <c r="D31" t="s">
        <v>77</v>
      </c>
      <c r="E31" t="s">
        <v>69</v>
      </c>
      <c r="F31" t="s">
        <v>44</v>
      </c>
      <c r="G31" t="s">
        <v>18</v>
      </c>
      <c r="H31">
        <v>1</v>
      </c>
      <c r="I31">
        <v>0</v>
      </c>
      <c r="J31" t="s">
        <v>451</v>
      </c>
      <c r="N31" s="2">
        <v>2805</v>
      </c>
    </row>
    <row r="32" spans="1:17" x14ac:dyDescent="0.25">
      <c r="A32" s="1">
        <v>43490</v>
      </c>
      <c r="B32" t="s">
        <v>156</v>
      </c>
      <c r="C32" t="s">
        <v>412</v>
      </c>
      <c r="D32" t="s">
        <v>100</v>
      </c>
      <c r="E32" t="s">
        <v>60</v>
      </c>
      <c r="F32" t="s">
        <v>44</v>
      </c>
      <c r="G32" t="s">
        <v>18</v>
      </c>
      <c r="H32">
        <v>2</v>
      </c>
      <c r="I32">
        <v>1</v>
      </c>
      <c r="J32" t="s">
        <v>427</v>
      </c>
      <c r="K32">
        <v>2</v>
      </c>
      <c r="L32">
        <v>1.2</v>
      </c>
      <c r="M32">
        <v>53</v>
      </c>
      <c r="N32" s="2">
        <v>43845</v>
      </c>
      <c r="Q32" s="1"/>
    </row>
    <row r="33" spans="1:17" x14ac:dyDescent="0.25">
      <c r="A33" s="1">
        <v>43497</v>
      </c>
      <c r="B33" t="s">
        <v>156</v>
      </c>
      <c r="C33" t="s">
        <v>412</v>
      </c>
      <c r="D33" t="s">
        <v>101</v>
      </c>
      <c r="E33" t="s">
        <v>60</v>
      </c>
      <c r="F33" t="s">
        <v>43</v>
      </c>
      <c r="G33" t="s">
        <v>18</v>
      </c>
      <c r="H33">
        <v>4</v>
      </c>
      <c r="I33">
        <v>0</v>
      </c>
      <c r="J33" t="s">
        <v>437</v>
      </c>
      <c r="K33">
        <v>2.2000000000000002</v>
      </c>
      <c r="L33">
        <v>0.6</v>
      </c>
      <c r="M33">
        <v>43</v>
      </c>
      <c r="N33" s="2">
        <v>32849</v>
      </c>
      <c r="Q33" s="1"/>
    </row>
    <row r="34" spans="1:17" x14ac:dyDescent="0.25">
      <c r="A34" s="1">
        <v>43502</v>
      </c>
      <c r="B34" t="s">
        <v>435</v>
      </c>
      <c r="C34" t="s">
        <v>440</v>
      </c>
      <c r="D34" t="s">
        <v>91</v>
      </c>
      <c r="E34" t="s">
        <v>92</v>
      </c>
      <c r="F34" t="s">
        <v>44</v>
      </c>
      <c r="G34" t="s">
        <v>19</v>
      </c>
      <c r="H34">
        <v>1</v>
      </c>
      <c r="I34">
        <v>2</v>
      </c>
      <c r="J34" t="s">
        <v>421</v>
      </c>
      <c r="M34">
        <v>36</v>
      </c>
      <c r="N34" s="2">
        <v>7228</v>
      </c>
    </row>
    <row r="35" spans="1:17" x14ac:dyDescent="0.25">
      <c r="A35" s="1">
        <v>43506</v>
      </c>
      <c r="B35" t="s">
        <v>244</v>
      </c>
      <c r="C35" t="s">
        <v>412</v>
      </c>
      <c r="D35" t="s">
        <v>102</v>
      </c>
      <c r="E35" t="s">
        <v>62</v>
      </c>
      <c r="F35" t="s">
        <v>44</v>
      </c>
      <c r="G35" t="s">
        <v>18</v>
      </c>
      <c r="H35">
        <v>2</v>
      </c>
      <c r="I35">
        <v>0</v>
      </c>
      <c r="J35" t="s">
        <v>418</v>
      </c>
      <c r="K35">
        <v>1.3</v>
      </c>
      <c r="L35">
        <v>0.5</v>
      </c>
      <c r="M35">
        <v>53</v>
      </c>
      <c r="N35" s="2">
        <v>13886</v>
      </c>
      <c r="Q35" s="1"/>
    </row>
    <row r="36" spans="1:17" x14ac:dyDescent="0.25">
      <c r="A36" s="1">
        <v>43513</v>
      </c>
      <c r="B36" t="s">
        <v>411</v>
      </c>
      <c r="C36" t="s">
        <v>412</v>
      </c>
      <c r="D36" t="s">
        <v>103</v>
      </c>
      <c r="E36" t="s">
        <v>62</v>
      </c>
      <c r="F36" t="s">
        <v>43</v>
      </c>
      <c r="G36" t="s">
        <v>4</v>
      </c>
      <c r="H36">
        <v>0</v>
      </c>
      <c r="I36">
        <v>0</v>
      </c>
      <c r="J36" t="s">
        <v>431</v>
      </c>
      <c r="K36">
        <v>1.1000000000000001</v>
      </c>
      <c r="L36">
        <v>0.7</v>
      </c>
      <c r="M36">
        <v>62</v>
      </c>
      <c r="N36" s="2">
        <v>36967</v>
      </c>
      <c r="Q36" s="1"/>
    </row>
    <row r="37" spans="1:17" x14ac:dyDescent="0.25">
      <c r="A37" s="1">
        <v>43518</v>
      </c>
      <c r="B37" t="s">
        <v>156</v>
      </c>
      <c r="C37" t="s">
        <v>412</v>
      </c>
      <c r="D37" t="s">
        <v>104</v>
      </c>
      <c r="E37" t="s">
        <v>60</v>
      </c>
      <c r="F37" t="s">
        <v>44</v>
      </c>
      <c r="G37" t="s">
        <v>4</v>
      </c>
      <c r="H37">
        <v>1</v>
      </c>
      <c r="I37">
        <v>1</v>
      </c>
      <c r="J37" t="s">
        <v>414</v>
      </c>
      <c r="K37">
        <v>1.1000000000000001</v>
      </c>
      <c r="L37">
        <v>0.5</v>
      </c>
      <c r="M37">
        <v>49</v>
      </c>
      <c r="N37" s="2">
        <v>25303</v>
      </c>
    </row>
    <row r="38" spans="1:17" x14ac:dyDescent="0.25">
      <c r="A38" t="s">
        <v>0</v>
      </c>
      <c r="B38" t="s">
        <v>1</v>
      </c>
      <c r="C38" t="s">
        <v>16</v>
      </c>
      <c r="D38" t="s">
        <v>51</v>
      </c>
      <c r="E38" t="s">
        <v>52</v>
      </c>
      <c r="F38" t="s">
        <v>53</v>
      </c>
      <c r="G38" t="s">
        <v>54</v>
      </c>
      <c r="H38" t="s">
        <v>20</v>
      </c>
      <c r="I38" t="s">
        <v>21</v>
      </c>
      <c r="J38" t="s">
        <v>45</v>
      </c>
      <c r="K38" t="s">
        <v>55</v>
      </c>
      <c r="L38" t="s">
        <v>56</v>
      </c>
      <c r="M38" t="s">
        <v>57</v>
      </c>
      <c r="N38" t="s">
        <v>24</v>
      </c>
    </row>
    <row r="39" spans="1:17" x14ac:dyDescent="0.25">
      <c r="A39" s="1">
        <v>43527</v>
      </c>
      <c r="B39" t="s">
        <v>411</v>
      </c>
      <c r="C39" t="s">
        <v>412</v>
      </c>
      <c r="D39" t="s">
        <v>105</v>
      </c>
      <c r="E39" t="s">
        <v>62</v>
      </c>
      <c r="F39" t="s">
        <v>43</v>
      </c>
      <c r="G39" t="s">
        <v>18</v>
      </c>
      <c r="H39">
        <v>1</v>
      </c>
      <c r="I39">
        <v>0</v>
      </c>
      <c r="J39" t="s">
        <v>438</v>
      </c>
      <c r="K39">
        <v>0.8</v>
      </c>
      <c r="L39">
        <v>0.5</v>
      </c>
      <c r="M39">
        <v>57</v>
      </c>
      <c r="N39" s="2">
        <v>32722</v>
      </c>
      <c r="Q39" s="1"/>
    </row>
    <row r="40" spans="1:17" x14ac:dyDescent="0.25">
      <c r="A40" s="1">
        <v>43534</v>
      </c>
      <c r="B40" t="s">
        <v>452</v>
      </c>
      <c r="C40" t="s">
        <v>412</v>
      </c>
      <c r="D40" t="s">
        <v>106</v>
      </c>
      <c r="E40" t="s">
        <v>62</v>
      </c>
      <c r="F40" t="s">
        <v>44</v>
      </c>
      <c r="G40" t="s">
        <v>18</v>
      </c>
      <c r="H40">
        <v>1</v>
      </c>
      <c r="I40">
        <v>0</v>
      </c>
      <c r="J40" t="s">
        <v>429</v>
      </c>
      <c r="K40">
        <v>1.8</v>
      </c>
      <c r="L40">
        <v>0.3</v>
      </c>
      <c r="M40">
        <v>46</v>
      </c>
      <c r="N40" s="2">
        <v>26648</v>
      </c>
      <c r="P40" s="1"/>
    </row>
    <row r="41" spans="1:17" x14ac:dyDescent="0.25">
      <c r="A41" s="1">
        <v>43539</v>
      </c>
      <c r="B41" t="s">
        <v>180</v>
      </c>
      <c r="C41" t="s">
        <v>412</v>
      </c>
      <c r="D41" t="s">
        <v>107</v>
      </c>
      <c r="E41" t="s">
        <v>60</v>
      </c>
      <c r="F41" t="s">
        <v>43</v>
      </c>
      <c r="G41" t="s">
        <v>19</v>
      </c>
      <c r="H41">
        <v>0</v>
      </c>
      <c r="I41">
        <v>1</v>
      </c>
      <c r="J41" t="s">
        <v>419</v>
      </c>
      <c r="K41">
        <v>1.8</v>
      </c>
      <c r="L41">
        <v>1.6</v>
      </c>
      <c r="M41">
        <v>65</v>
      </c>
      <c r="N41" s="2">
        <v>37724</v>
      </c>
    </row>
    <row r="42" spans="1:17" x14ac:dyDescent="0.25">
      <c r="A42" s="1">
        <v>43555</v>
      </c>
      <c r="B42" t="s">
        <v>244</v>
      </c>
      <c r="C42" t="s">
        <v>412</v>
      </c>
      <c r="D42" t="s">
        <v>108</v>
      </c>
      <c r="E42" t="s">
        <v>62</v>
      </c>
      <c r="F42" t="s">
        <v>44</v>
      </c>
      <c r="G42" t="s">
        <v>18</v>
      </c>
      <c r="H42">
        <v>3</v>
      </c>
      <c r="I42">
        <v>2</v>
      </c>
      <c r="J42" t="s">
        <v>413</v>
      </c>
      <c r="K42">
        <v>2.5</v>
      </c>
      <c r="L42">
        <v>2</v>
      </c>
      <c r="M42">
        <v>49</v>
      </c>
      <c r="N42" s="2">
        <v>25045</v>
      </c>
    </row>
    <row r="43" spans="1:17" x14ac:dyDescent="0.25">
      <c r="A43" s="1">
        <v>43562</v>
      </c>
      <c r="B43" t="s">
        <v>411</v>
      </c>
      <c r="C43" t="s">
        <v>412</v>
      </c>
      <c r="D43" t="s">
        <v>109</v>
      </c>
      <c r="E43" t="s">
        <v>62</v>
      </c>
      <c r="F43" t="s">
        <v>44</v>
      </c>
      <c r="G43" t="s">
        <v>4</v>
      </c>
      <c r="H43">
        <v>1</v>
      </c>
      <c r="I43">
        <v>1</v>
      </c>
      <c r="J43" t="s">
        <v>447</v>
      </c>
      <c r="K43">
        <v>1</v>
      </c>
      <c r="L43">
        <v>1</v>
      </c>
      <c r="M43">
        <v>57</v>
      </c>
      <c r="N43" s="2">
        <v>18642</v>
      </c>
    </row>
    <row r="44" spans="1:17" x14ac:dyDescent="0.25">
      <c r="A44" s="1">
        <v>43569</v>
      </c>
      <c r="B44" t="s">
        <v>181</v>
      </c>
      <c r="C44" t="s">
        <v>412</v>
      </c>
      <c r="D44" t="s">
        <v>110</v>
      </c>
      <c r="E44" t="s">
        <v>62</v>
      </c>
      <c r="F44" t="s">
        <v>43</v>
      </c>
      <c r="G44" t="s">
        <v>18</v>
      </c>
      <c r="H44">
        <v>5</v>
      </c>
      <c r="I44">
        <v>1</v>
      </c>
      <c r="J44" t="s">
        <v>434</v>
      </c>
      <c r="K44">
        <v>1.7</v>
      </c>
      <c r="L44">
        <v>1.3</v>
      </c>
      <c r="M44">
        <v>44</v>
      </c>
      <c r="N44" s="2">
        <v>49712</v>
      </c>
      <c r="Q44" s="1"/>
    </row>
    <row r="45" spans="1:17" x14ac:dyDescent="0.25">
      <c r="A45" s="1">
        <v>43576</v>
      </c>
      <c r="B45" t="s">
        <v>411</v>
      </c>
      <c r="C45" t="s">
        <v>412</v>
      </c>
      <c r="D45" t="s">
        <v>111</v>
      </c>
      <c r="E45" t="s">
        <v>62</v>
      </c>
      <c r="F45" t="s">
        <v>44</v>
      </c>
      <c r="G45" t="s">
        <v>4</v>
      </c>
      <c r="H45">
        <v>0</v>
      </c>
      <c r="I45">
        <v>0</v>
      </c>
      <c r="J45" t="s">
        <v>433</v>
      </c>
      <c r="K45">
        <v>1.2</v>
      </c>
      <c r="L45">
        <v>0.6</v>
      </c>
      <c r="M45">
        <v>51</v>
      </c>
      <c r="N45" s="2">
        <v>15002</v>
      </c>
      <c r="Q45" s="1"/>
    </row>
    <row r="46" spans="1:17" x14ac:dyDescent="0.25">
      <c r="A46" s="1">
        <v>43583</v>
      </c>
      <c r="B46" t="s">
        <v>411</v>
      </c>
      <c r="C46" t="s">
        <v>412</v>
      </c>
      <c r="D46" t="s">
        <v>112</v>
      </c>
      <c r="E46" t="s">
        <v>62</v>
      </c>
      <c r="F46" t="s">
        <v>43</v>
      </c>
      <c r="G46" t="s">
        <v>18</v>
      </c>
      <c r="H46">
        <v>5</v>
      </c>
      <c r="I46">
        <v>0</v>
      </c>
      <c r="J46" t="s">
        <v>448</v>
      </c>
      <c r="K46">
        <v>2.4</v>
      </c>
      <c r="L46">
        <v>0.9</v>
      </c>
      <c r="M46">
        <v>59</v>
      </c>
      <c r="N46" s="2">
        <v>36356</v>
      </c>
      <c r="P46" s="1"/>
      <c r="Q46" s="1"/>
    </row>
    <row r="47" spans="1:17" x14ac:dyDescent="0.25">
      <c r="A47" s="1">
        <v>43590</v>
      </c>
      <c r="B47" t="s">
        <v>181</v>
      </c>
      <c r="C47" t="s">
        <v>412</v>
      </c>
      <c r="D47" t="s">
        <v>113</v>
      </c>
      <c r="E47" t="s">
        <v>62</v>
      </c>
      <c r="F47" t="s">
        <v>44</v>
      </c>
      <c r="G47" t="s">
        <v>4</v>
      </c>
      <c r="H47">
        <v>2</v>
      </c>
      <c r="I47">
        <v>2</v>
      </c>
      <c r="J47" t="s">
        <v>432</v>
      </c>
      <c r="K47">
        <v>1.8</v>
      </c>
      <c r="L47">
        <v>1.7</v>
      </c>
      <c r="M47">
        <v>39</v>
      </c>
      <c r="N47" s="2">
        <v>56642</v>
      </c>
    </row>
    <row r="48" spans="1:17" x14ac:dyDescent="0.25">
      <c r="A48" s="1">
        <v>43597</v>
      </c>
      <c r="B48" t="s">
        <v>244</v>
      </c>
      <c r="C48" t="s">
        <v>412</v>
      </c>
      <c r="D48" t="s">
        <v>114</v>
      </c>
      <c r="E48" t="s">
        <v>62</v>
      </c>
      <c r="F48" t="s">
        <v>43</v>
      </c>
      <c r="G48" t="s">
        <v>18</v>
      </c>
      <c r="H48">
        <v>1</v>
      </c>
      <c r="I48">
        <v>0</v>
      </c>
      <c r="J48" t="s">
        <v>417</v>
      </c>
      <c r="K48">
        <v>1.1000000000000001</v>
      </c>
      <c r="L48">
        <v>0.6</v>
      </c>
      <c r="M48">
        <v>48</v>
      </c>
      <c r="N48" s="2">
        <v>41413</v>
      </c>
      <c r="P48" s="1"/>
    </row>
    <row r="49" spans="1:17" x14ac:dyDescent="0.25">
      <c r="A49" s="1">
        <v>43603</v>
      </c>
      <c r="B49" t="s">
        <v>181</v>
      </c>
      <c r="C49" t="s">
        <v>412</v>
      </c>
      <c r="D49" t="s">
        <v>115</v>
      </c>
      <c r="E49" t="s">
        <v>64</v>
      </c>
      <c r="F49" t="s">
        <v>43</v>
      </c>
      <c r="G49" t="s">
        <v>18</v>
      </c>
      <c r="H49">
        <v>5</v>
      </c>
      <c r="I49">
        <v>0</v>
      </c>
      <c r="J49" t="s">
        <v>416</v>
      </c>
      <c r="K49">
        <v>2.8</v>
      </c>
      <c r="L49">
        <v>1.4</v>
      </c>
      <c r="M49">
        <v>48</v>
      </c>
      <c r="N49" s="2">
        <v>42704</v>
      </c>
      <c r="P49" s="1"/>
      <c r="Q49" s="1"/>
    </row>
    <row r="50" spans="1:17" x14ac:dyDescent="0.25">
      <c r="A50" s="1">
        <v>43609</v>
      </c>
      <c r="B50" t="s">
        <v>435</v>
      </c>
      <c r="C50" t="s">
        <v>412</v>
      </c>
      <c r="D50" t="s">
        <v>116</v>
      </c>
      <c r="E50" t="s">
        <v>60</v>
      </c>
      <c r="F50" t="s">
        <v>44</v>
      </c>
      <c r="G50" t="s">
        <v>19</v>
      </c>
      <c r="H50">
        <v>1</v>
      </c>
      <c r="I50">
        <v>3</v>
      </c>
      <c r="J50" t="s">
        <v>421</v>
      </c>
      <c r="K50">
        <v>1</v>
      </c>
      <c r="L50">
        <v>2.2000000000000002</v>
      </c>
      <c r="M50">
        <v>56</v>
      </c>
      <c r="N50" s="2">
        <v>28185</v>
      </c>
      <c r="Q50" s="1"/>
    </row>
    <row r="52" spans="1:17" x14ac:dyDescent="0.25">
      <c r="A52" t="s">
        <v>298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2B39-FA33-48EF-B2DF-46852D33E587}">
  <dimension ref="A1:Q60"/>
  <sheetViews>
    <sheetView workbookViewId="0">
      <selection activeCell="O1" sqref="O1:T1048576"/>
    </sheetView>
  </sheetViews>
  <sheetFormatPr defaultRowHeight="15" x14ac:dyDescent="0.25"/>
  <cols>
    <col min="1" max="1" width="11.5703125" customWidth="1"/>
  </cols>
  <sheetData>
    <row r="1" spans="1:17" x14ac:dyDescent="0.25">
      <c r="A1" t="s">
        <v>453</v>
      </c>
    </row>
    <row r="2" spans="1:17" x14ac:dyDescent="0.25">
      <c r="A2" t="s">
        <v>454</v>
      </c>
    </row>
    <row r="3" spans="1:17" x14ac:dyDescent="0.25">
      <c r="A3" t="s">
        <v>455</v>
      </c>
    </row>
    <row r="4" spans="1:17" x14ac:dyDescent="0.25">
      <c r="A4" t="s">
        <v>456</v>
      </c>
    </row>
    <row r="7" spans="1:17" x14ac:dyDescent="0.25">
      <c r="A7" t="s">
        <v>0</v>
      </c>
      <c r="B7" t="s">
        <v>1</v>
      </c>
      <c r="C7" t="s">
        <v>16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 t="s">
        <v>45</v>
      </c>
      <c r="K7" t="s">
        <v>55</v>
      </c>
      <c r="L7" t="s">
        <v>56</v>
      </c>
      <c r="M7" t="s">
        <v>57</v>
      </c>
      <c r="N7" t="s">
        <v>24</v>
      </c>
    </row>
    <row r="8" spans="1:17" x14ac:dyDescent="0.25">
      <c r="A8" s="1">
        <v>43688</v>
      </c>
      <c r="B8" t="s">
        <v>411</v>
      </c>
      <c r="C8" t="s">
        <v>412</v>
      </c>
      <c r="D8" t="s">
        <v>59</v>
      </c>
      <c r="E8" t="s">
        <v>62</v>
      </c>
      <c r="F8" t="s">
        <v>43</v>
      </c>
      <c r="G8" t="s">
        <v>18</v>
      </c>
      <c r="H8">
        <v>2</v>
      </c>
      <c r="I8">
        <v>1</v>
      </c>
      <c r="J8" t="s">
        <v>413</v>
      </c>
      <c r="K8">
        <v>1.3</v>
      </c>
      <c r="L8">
        <v>0.6</v>
      </c>
      <c r="M8">
        <v>54</v>
      </c>
      <c r="N8" s="2">
        <v>34494</v>
      </c>
      <c r="Q8" s="1"/>
    </row>
    <row r="9" spans="1:17" x14ac:dyDescent="0.25">
      <c r="A9" s="1">
        <v>43694</v>
      </c>
      <c r="B9" t="s">
        <v>155</v>
      </c>
      <c r="C9" t="s">
        <v>412</v>
      </c>
      <c r="D9" t="s">
        <v>61</v>
      </c>
      <c r="E9" t="s">
        <v>64</v>
      </c>
      <c r="F9" t="s">
        <v>44</v>
      </c>
      <c r="G9" t="s">
        <v>19</v>
      </c>
      <c r="H9">
        <v>0</v>
      </c>
      <c r="I9">
        <v>1</v>
      </c>
      <c r="J9" t="s">
        <v>430</v>
      </c>
      <c r="K9">
        <v>0.3</v>
      </c>
      <c r="L9">
        <v>1</v>
      </c>
      <c r="M9">
        <v>51</v>
      </c>
      <c r="N9" s="2">
        <v>12481</v>
      </c>
    </row>
    <row r="10" spans="1:17" x14ac:dyDescent="0.25">
      <c r="A10" s="1">
        <v>43705</v>
      </c>
      <c r="B10" t="s">
        <v>162</v>
      </c>
      <c r="C10" t="s">
        <v>412</v>
      </c>
      <c r="D10" t="s">
        <v>63</v>
      </c>
      <c r="E10" t="s">
        <v>92</v>
      </c>
      <c r="F10" t="s">
        <v>43</v>
      </c>
      <c r="G10" t="s">
        <v>18</v>
      </c>
      <c r="H10">
        <v>3</v>
      </c>
      <c r="I10">
        <v>0</v>
      </c>
      <c r="J10" t="s">
        <v>429</v>
      </c>
      <c r="K10">
        <v>2.4</v>
      </c>
      <c r="L10">
        <v>0.8</v>
      </c>
      <c r="M10">
        <v>51</v>
      </c>
      <c r="N10" s="2">
        <v>36138</v>
      </c>
    </row>
    <row r="11" spans="1:17" x14ac:dyDescent="0.25">
      <c r="A11" s="1">
        <v>43709</v>
      </c>
      <c r="B11" t="s">
        <v>411</v>
      </c>
      <c r="C11" t="s">
        <v>412</v>
      </c>
      <c r="D11" t="s">
        <v>66</v>
      </c>
      <c r="E11" t="s">
        <v>62</v>
      </c>
      <c r="F11" t="s">
        <v>44</v>
      </c>
      <c r="G11" t="s">
        <v>19</v>
      </c>
      <c r="H11">
        <v>0</v>
      </c>
      <c r="I11">
        <v>2</v>
      </c>
      <c r="J11" t="s">
        <v>447</v>
      </c>
      <c r="K11">
        <v>1.6</v>
      </c>
      <c r="L11">
        <v>2.1</v>
      </c>
      <c r="M11">
        <v>59</v>
      </c>
      <c r="N11" s="2">
        <v>14477</v>
      </c>
    </row>
    <row r="12" spans="1:17" x14ac:dyDescent="0.25">
      <c r="A12" s="1">
        <v>43721</v>
      </c>
      <c r="B12" t="s">
        <v>162</v>
      </c>
      <c r="C12" t="s">
        <v>412</v>
      </c>
      <c r="D12" t="s">
        <v>68</v>
      </c>
      <c r="E12" t="s">
        <v>60</v>
      </c>
      <c r="F12" t="s">
        <v>43</v>
      </c>
      <c r="G12" t="s">
        <v>18</v>
      </c>
      <c r="H12">
        <v>2</v>
      </c>
      <c r="I12">
        <v>1</v>
      </c>
      <c r="J12" t="s">
        <v>416</v>
      </c>
      <c r="K12">
        <v>1.4</v>
      </c>
      <c r="L12">
        <v>0.7</v>
      </c>
      <c r="M12">
        <v>56</v>
      </c>
      <c r="N12" s="2">
        <v>32834</v>
      </c>
      <c r="Q12" s="1"/>
    </row>
    <row r="13" spans="1:17" x14ac:dyDescent="0.25">
      <c r="A13" s="1">
        <v>43725</v>
      </c>
      <c r="B13" t="s">
        <v>181</v>
      </c>
      <c r="C13" t="s">
        <v>118</v>
      </c>
      <c r="D13" t="s">
        <v>119</v>
      </c>
      <c r="E13" t="s">
        <v>69</v>
      </c>
      <c r="F13" t="s">
        <v>44</v>
      </c>
      <c r="G13" t="s">
        <v>19</v>
      </c>
      <c r="H13">
        <v>0</v>
      </c>
      <c r="I13">
        <v>3</v>
      </c>
      <c r="J13" t="s">
        <v>457</v>
      </c>
      <c r="K13">
        <v>2</v>
      </c>
      <c r="L13">
        <v>1.5</v>
      </c>
      <c r="M13">
        <v>39</v>
      </c>
      <c r="N13" s="2">
        <v>51441</v>
      </c>
      <c r="P13" s="1"/>
    </row>
    <row r="14" spans="1:17" x14ac:dyDescent="0.25">
      <c r="A14" s="1">
        <v>43730</v>
      </c>
      <c r="B14" t="s">
        <v>411</v>
      </c>
      <c r="C14" t="s">
        <v>412</v>
      </c>
      <c r="D14" t="s">
        <v>71</v>
      </c>
      <c r="E14" t="s">
        <v>62</v>
      </c>
      <c r="F14" t="s">
        <v>44</v>
      </c>
      <c r="G14" t="s">
        <v>4</v>
      </c>
      <c r="H14">
        <v>1</v>
      </c>
      <c r="I14">
        <v>1</v>
      </c>
      <c r="J14" t="s">
        <v>421</v>
      </c>
      <c r="K14">
        <v>1.1000000000000001</v>
      </c>
      <c r="L14">
        <v>0.9</v>
      </c>
      <c r="M14">
        <v>49</v>
      </c>
      <c r="N14" s="2">
        <v>25772</v>
      </c>
      <c r="Q14" s="1"/>
    </row>
    <row r="15" spans="1:17" x14ac:dyDescent="0.25">
      <c r="A15" s="1">
        <v>43733</v>
      </c>
      <c r="B15" t="s">
        <v>162</v>
      </c>
      <c r="C15" t="s">
        <v>412</v>
      </c>
      <c r="D15" t="s">
        <v>72</v>
      </c>
      <c r="E15" t="s">
        <v>92</v>
      </c>
      <c r="F15" t="s">
        <v>43</v>
      </c>
      <c r="G15" t="s">
        <v>18</v>
      </c>
      <c r="H15">
        <v>2</v>
      </c>
      <c r="I15">
        <v>0</v>
      </c>
      <c r="J15" t="s">
        <v>414</v>
      </c>
      <c r="K15">
        <v>2.8</v>
      </c>
      <c r="L15">
        <v>0.3</v>
      </c>
      <c r="M15">
        <v>64</v>
      </c>
      <c r="N15" s="2">
        <v>30103</v>
      </c>
      <c r="P15" s="1"/>
    </row>
    <row r="16" spans="1:17" x14ac:dyDescent="0.25">
      <c r="A16" s="1">
        <v>43736</v>
      </c>
      <c r="B16" t="s">
        <v>155</v>
      </c>
      <c r="C16" t="s">
        <v>412</v>
      </c>
      <c r="D16" t="s">
        <v>74</v>
      </c>
      <c r="E16" t="s">
        <v>64</v>
      </c>
      <c r="F16" t="s">
        <v>44</v>
      </c>
      <c r="G16" t="s">
        <v>4</v>
      </c>
      <c r="H16">
        <v>1</v>
      </c>
      <c r="I16">
        <v>1</v>
      </c>
      <c r="J16" t="s">
        <v>437</v>
      </c>
      <c r="K16">
        <v>1.4</v>
      </c>
      <c r="L16">
        <v>1.2</v>
      </c>
      <c r="M16">
        <v>41</v>
      </c>
      <c r="N16" s="2">
        <v>18295</v>
      </c>
      <c r="Q16" s="1"/>
    </row>
    <row r="17" spans="1:17" x14ac:dyDescent="0.25">
      <c r="A17" s="1">
        <v>43740</v>
      </c>
      <c r="B17" t="s">
        <v>181</v>
      </c>
      <c r="C17" t="s">
        <v>118</v>
      </c>
      <c r="D17" t="s">
        <v>119</v>
      </c>
      <c r="E17" t="s">
        <v>92</v>
      </c>
      <c r="F17" t="s">
        <v>43</v>
      </c>
      <c r="G17" t="s">
        <v>19</v>
      </c>
      <c r="H17">
        <v>1</v>
      </c>
      <c r="I17">
        <v>2</v>
      </c>
      <c r="J17" t="s">
        <v>240</v>
      </c>
      <c r="K17">
        <v>0.6</v>
      </c>
      <c r="L17">
        <v>1.4</v>
      </c>
      <c r="M17">
        <v>38</v>
      </c>
      <c r="N17" s="2">
        <v>48523</v>
      </c>
      <c r="Q17" s="1"/>
    </row>
    <row r="18" spans="1:17" x14ac:dyDescent="0.25">
      <c r="A18" s="1">
        <v>43744</v>
      </c>
      <c r="B18" t="s">
        <v>411</v>
      </c>
      <c r="C18" t="s">
        <v>412</v>
      </c>
      <c r="D18" t="s">
        <v>75</v>
      </c>
      <c r="E18" t="s">
        <v>62</v>
      </c>
      <c r="F18" t="s">
        <v>43</v>
      </c>
      <c r="G18" t="s">
        <v>4</v>
      </c>
      <c r="H18">
        <v>2</v>
      </c>
      <c r="I18">
        <v>2</v>
      </c>
      <c r="J18" t="s">
        <v>448</v>
      </c>
      <c r="K18">
        <v>2.6</v>
      </c>
      <c r="L18">
        <v>1.8</v>
      </c>
      <c r="M18">
        <v>65</v>
      </c>
      <c r="N18" s="2">
        <v>31542</v>
      </c>
      <c r="Q18" s="1"/>
    </row>
    <row r="19" spans="1:17" x14ac:dyDescent="0.25">
      <c r="A19" s="1">
        <v>43757</v>
      </c>
      <c r="B19" t="s">
        <v>155</v>
      </c>
      <c r="C19" t="s">
        <v>412</v>
      </c>
      <c r="D19" t="s">
        <v>79</v>
      </c>
      <c r="E19" t="s">
        <v>64</v>
      </c>
      <c r="F19" t="s">
        <v>44</v>
      </c>
      <c r="G19" t="s">
        <v>19</v>
      </c>
      <c r="H19">
        <v>1</v>
      </c>
      <c r="I19">
        <v>2</v>
      </c>
      <c r="J19" t="s">
        <v>433</v>
      </c>
      <c r="K19">
        <v>0.8</v>
      </c>
      <c r="L19">
        <v>2.5</v>
      </c>
      <c r="M19">
        <v>59</v>
      </c>
      <c r="N19" s="2">
        <v>12277</v>
      </c>
      <c r="Q19" s="1"/>
    </row>
    <row r="20" spans="1:17" x14ac:dyDescent="0.25">
      <c r="A20" s="1">
        <v>43761</v>
      </c>
      <c r="B20" t="s">
        <v>181</v>
      </c>
      <c r="C20" t="s">
        <v>118</v>
      </c>
      <c r="D20" t="s">
        <v>119</v>
      </c>
      <c r="E20" t="s">
        <v>92</v>
      </c>
      <c r="F20" t="s">
        <v>43</v>
      </c>
      <c r="G20" t="s">
        <v>4</v>
      </c>
      <c r="H20">
        <v>1</v>
      </c>
      <c r="I20">
        <v>1</v>
      </c>
      <c r="J20" t="s">
        <v>458</v>
      </c>
      <c r="K20">
        <v>1.9</v>
      </c>
      <c r="L20">
        <v>0.6</v>
      </c>
      <c r="M20">
        <v>55</v>
      </c>
      <c r="N20" s="2">
        <v>47488</v>
      </c>
      <c r="P20" s="1"/>
      <c r="Q20" s="1"/>
    </row>
    <row r="21" spans="1:17" x14ac:dyDescent="0.25">
      <c r="A21" s="1">
        <v>43764</v>
      </c>
      <c r="B21" t="s">
        <v>243</v>
      </c>
      <c r="C21" t="s">
        <v>412</v>
      </c>
      <c r="D21" t="s">
        <v>81</v>
      </c>
      <c r="E21" t="s">
        <v>64</v>
      </c>
      <c r="F21" t="s">
        <v>43</v>
      </c>
      <c r="G21" t="s">
        <v>18</v>
      </c>
      <c r="H21">
        <v>3</v>
      </c>
      <c r="I21">
        <v>0</v>
      </c>
      <c r="J21" t="s">
        <v>417</v>
      </c>
      <c r="K21">
        <v>1.8</v>
      </c>
      <c r="L21">
        <v>0.3</v>
      </c>
      <c r="M21">
        <v>45</v>
      </c>
      <c r="N21" s="2">
        <v>35925</v>
      </c>
      <c r="P21" s="1"/>
      <c r="Q21" s="1"/>
    </row>
    <row r="22" spans="1:17" x14ac:dyDescent="0.25">
      <c r="A22" s="1">
        <v>43771</v>
      </c>
      <c r="B22" t="s">
        <v>335</v>
      </c>
      <c r="C22" t="s">
        <v>412</v>
      </c>
      <c r="D22" t="s">
        <v>83</v>
      </c>
      <c r="E22" t="s">
        <v>64</v>
      </c>
      <c r="F22" t="s">
        <v>44</v>
      </c>
      <c r="G22" t="s">
        <v>19</v>
      </c>
      <c r="H22">
        <v>1</v>
      </c>
      <c r="I22">
        <v>2</v>
      </c>
      <c r="J22" t="s">
        <v>427</v>
      </c>
      <c r="K22">
        <v>0.4</v>
      </c>
      <c r="L22">
        <v>0.7</v>
      </c>
      <c r="M22">
        <v>56</v>
      </c>
      <c r="N22" s="2">
        <v>53321</v>
      </c>
      <c r="P22" s="1"/>
      <c r="Q22" s="1"/>
    </row>
    <row r="23" spans="1:17" x14ac:dyDescent="0.25">
      <c r="A23" s="1">
        <v>43774</v>
      </c>
      <c r="B23" t="s">
        <v>181</v>
      </c>
      <c r="C23" t="s">
        <v>118</v>
      </c>
      <c r="D23" t="s">
        <v>119</v>
      </c>
      <c r="E23" t="s">
        <v>69</v>
      </c>
      <c r="F23" t="s">
        <v>44</v>
      </c>
      <c r="G23" t="s">
        <v>19</v>
      </c>
      <c r="H23">
        <v>1</v>
      </c>
      <c r="I23">
        <v>4</v>
      </c>
      <c r="J23" t="s">
        <v>458</v>
      </c>
      <c r="K23">
        <v>1.5</v>
      </c>
      <c r="L23">
        <v>2.2999999999999998</v>
      </c>
      <c r="M23">
        <v>45</v>
      </c>
      <c r="N23" s="2">
        <v>38252</v>
      </c>
      <c r="P23" s="1"/>
      <c r="Q23" s="1"/>
    </row>
    <row r="24" spans="1:17" x14ac:dyDescent="0.25">
      <c r="A24" s="1">
        <v>43778</v>
      </c>
      <c r="B24" t="s">
        <v>155</v>
      </c>
      <c r="C24" t="s">
        <v>412</v>
      </c>
      <c r="D24" t="s">
        <v>84</v>
      </c>
      <c r="E24" t="s">
        <v>64</v>
      </c>
      <c r="F24" t="s">
        <v>43</v>
      </c>
      <c r="G24" t="s">
        <v>4</v>
      </c>
      <c r="H24">
        <v>0</v>
      </c>
      <c r="I24">
        <v>0</v>
      </c>
      <c r="J24" t="s">
        <v>428</v>
      </c>
      <c r="K24">
        <v>1.4</v>
      </c>
      <c r="L24">
        <v>0.1</v>
      </c>
      <c r="M24">
        <v>68</v>
      </c>
      <c r="N24" s="2">
        <v>33425</v>
      </c>
      <c r="Q24" s="1"/>
    </row>
    <row r="25" spans="1:17" x14ac:dyDescent="0.25">
      <c r="A25" s="1">
        <v>43791</v>
      </c>
      <c r="B25" t="s">
        <v>156</v>
      </c>
      <c r="C25" t="s">
        <v>412</v>
      </c>
      <c r="D25" t="s">
        <v>86</v>
      </c>
      <c r="E25" t="s">
        <v>60</v>
      </c>
      <c r="F25" t="s">
        <v>44</v>
      </c>
      <c r="G25" t="s">
        <v>19</v>
      </c>
      <c r="H25">
        <v>0</v>
      </c>
      <c r="I25">
        <v>2</v>
      </c>
      <c r="J25" t="s">
        <v>434</v>
      </c>
      <c r="K25">
        <v>1</v>
      </c>
      <c r="L25">
        <v>2.6</v>
      </c>
      <c r="M25">
        <v>41</v>
      </c>
      <c r="N25" s="2">
        <v>47476</v>
      </c>
      <c r="P25" s="1"/>
      <c r="Q25" s="1"/>
    </row>
    <row r="26" spans="1:17" x14ac:dyDescent="0.25">
      <c r="A26" s="1">
        <v>43796</v>
      </c>
      <c r="B26" t="s">
        <v>181</v>
      </c>
      <c r="C26" t="s">
        <v>118</v>
      </c>
      <c r="D26" t="s">
        <v>119</v>
      </c>
      <c r="E26" t="s">
        <v>92</v>
      </c>
      <c r="F26" t="s">
        <v>43</v>
      </c>
      <c r="G26" t="s">
        <v>19</v>
      </c>
      <c r="H26">
        <v>0</v>
      </c>
      <c r="I26">
        <v>2</v>
      </c>
      <c r="J26" t="s">
        <v>457</v>
      </c>
      <c r="K26">
        <v>2.4</v>
      </c>
      <c r="L26">
        <v>1.6</v>
      </c>
      <c r="M26">
        <v>43</v>
      </c>
      <c r="N26" s="2">
        <v>48612</v>
      </c>
    </row>
    <row r="27" spans="1:17" x14ac:dyDescent="0.25">
      <c r="A27" s="1">
        <v>43799</v>
      </c>
      <c r="B27" t="s">
        <v>155</v>
      </c>
      <c r="C27" t="s">
        <v>412</v>
      </c>
      <c r="D27" t="s">
        <v>87</v>
      </c>
      <c r="E27" t="s">
        <v>64</v>
      </c>
      <c r="F27" t="s">
        <v>43</v>
      </c>
      <c r="G27" t="s">
        <v>18</v>
      </c>
      <c r="H27">
        <v>1</v>
      </c>
      <c r="I27">
        <v>0</v>
      </c>
      <c r="J27" t="s">
        <v>438</v>
      </c>
      <c r="K27">
        <v>1.7</v>
      </c>
      <c r="L27">
        <v>0.8</v>
      </c>
      <c r="M27">
        <v>50</v>
      </c>
      <c r="N27" s="2">
        <v>40074</v>
      </c>
    </row>
    <row r="28" spans="1:17" x14ac:dyDescent="0.25">
      <c r="A28" s="1">
        <v>43802</v>
      </c>
      <c r="B28" t="s">
        <v>435</v>
      </c>
      <c r="C28" t="s">
        <v>412</v>
      </c>
      <c r="D28" t="s">
        <v>88</v>
      </c>
      <c r="E28" t="s">
        <v>69</v>
      </c>
      <c r="F28" t="s">
        <v>44</v>
      </c>
      <c r="G28" t="s">
        <v>18</v>
      </c>
      <c r="H28">
        <v>1</v>
      </c>
      <c r="I28">
        <v>0</v>
      </c>
      <c r="J28" t="s">
        <v>432</v>
      </c>
      <c r="K28">
        <v>0.9</v>
      </c>
      <c r="L28">
        <v>0.8</v>
      </c>
      <c r="M28">
        <v>39</v>
      </c>
      <c r="N28" s="2">
        <v>42535</v>
      </c>
    </row>
    <row r="29" spans="1:17" x14ac:dyDescent="0.25">
      <c r="A29" s="1">
        <v>43805</v>
      </c>
      <c r="B29" t="s">
        <v>162</v>
      </c>
      <c r="C29" t="s">
        <v>412</v>
      </c>
      <c r="D29" t="s">
        <v>90</v>
      </c>
      <c r="E29" t="s">
        <v>60</v>
      </c>
      <c r="F29" t="s">
        <v>43</v>
      </c>
      <c r="G29" t="s">
        <v>18</v>
      </c>
      <c r="H29">
        <v>1</v>
      </c>
      <c r="I29">
        <v>0</v>
      </c>
      <c r="J29" t="s">
        <v>459</v>
      </c>
      <c r="K29">
        <v>2.6</v>
      </c>
      <c r="L29">
        <v>0.3</v>
      </c>
      <c r="M29">
        <v>55</v>
      </c>
      <c r="N29" s="2">
        <v>32682</v>
      </c>
      <c r="Q29" s="1"/>
    </row>
    <row r="30" spans="1:17" x14ac:dyDescent="0.25">
      <c r="A30" s="1">
        <v>43809</v>
      </c>
      <c r="B30" t="s">
        <v>161</v>
      </c>
      <c r="C30" t="s">
        <v>118</v>
      </c>
      <c r="D30" t="s">
        <v>119</v>
      </c>
      <c r="E30" t="s">
        <v>69</v>
      </c>
      <c r="F30" t="s">
        <v>44</v>
      </c>
      <c r="G30" t="s">
        <v>19</v>
      </c>
      <c r="H30">
        <v>1</v>
      </c>
      <c r="I30">
        <v>2</v>
      </c>
      <c r="J30" t="s">
        <v>240</v>
      </c>
      <c r="K30">
        <v>0.3</v>
      </c>
      <c r="L30">
        <v>2.7</v>
      </c>
      <c r="M30">
        <v>36</v>
      </c>
      <c r="N30" s="2">
        <v>40016</v>
      </c>
      <c r="Q30" s="1"/>
    </row>
    <row r="31" spans="1:17" x14ac:dyDescent="0.25">
      <c r="A31" s="1">
        <v>43812</v>
      </c>
      <c r="B31" t="s">
        <v>156</v>
      </c>
      <c r="C31" t="s">
        <v>412</v>
      </c>
      <c r="D31" t="s">
        <v>93</v>
      </c>
      <c r="E31" t="s">
        <v>60</v>
      </c>
      <c r="F31" t="s">
        <v>43</v>
      </c>
      <c r="G31" t="s">
        <v>18</v>
      </c>
      <c r="H31">
        <v>2</v>
      </c>
      <c r="I31">
        <v>1</v>
      </c>
      <c r="J31" t="s">
        <v>431</v>
      </c>
      <c r="K31">
        <v>2</v>
      </c>
      <c r="L31">
        <v>1.3</v>
      </c>
      <c r="M31">
        <v>48</v>
      </c>
      <c r="N31" s="2">
        <v>30170</v>
      </c>
    </row>
    <row r="32" spans="1:17" x14ac:dyDescent="0.25">
      <c r="A32" s="1">
        <v>43816</v>
      </c>
      <c r="B32" t="s">
        <v>435</v>
      </c>
      <c r="C32" t="s">
        <v>422</v>
      </c>
      <c r="D32" t="s">
        <v>91</v>
      </c>
      <c r="E32" t="s">
        <v>69</v>
      </c>
      <c r="F32" t="s">
        <v>44</v>
      </c>
      <c r="G32" t="s">
        <v>18</v>
      </c>
      <c r="H32">
        <v>3</v>
      </c>
      <c r="I32">
        <v>0</v>
      </c>
      <c r="J32" t="s">
        <v>419</v>
      </c>
      <c r="M32">
        <v>34</v>
      </c>
      <c r="N32" s="2">
        <v>5384</v>
      </c>
      <c r="Q32" s="1"/>
    </row>
    <row r="33" spans="1:17" x14ac:dyDescent="0.25">
      <c r="A33" s="1">
        <v>43820</v>
      </c>
      <c r="B33" t="s">
        <v>156</v>
      </c>
      <c r="C33" t="s">
        <v>412</v>
      </c>
      <c r="D33" t="s">
        <v>94</v>
      </c>
      <c r="E33" t="s">
        <v>64</v>
      </c>
      <c r="F33" t="s">
        <v>44</v>
      </c>
      <c r="G33" t="s">
        <v>19</v>
      </c>
      <c r="H33">
        <v>1</v>
      </c>
      <c r="I33">
        <v>5</v>
      </c>
      <c r="J33" t="s">
        <v>419</v>
      </c>
      <c r="K33">
        <v>0.8</v>
      </c>
      <c r="L33">
        <v>3.4</v>
      </c>
      <c r="M33">
        <v>60</v>
      </c>
      <c r="N33" s="2">
        <v>5388</v>
      </c>
      <c r="Q33" s="1"/>
    </row>
    <row r="34" spans="1:17" x14ac:dyDescent="0.25">
      <c r="A34" s="1">
        <v>43835</v>
      </c>
      <c r="B34" t="s">
        <v>460</v>
      </c>
      <c r="C34" t="s">
        <v>440</v>
      </c>
      <c r="D34" t="s">
        <v>305</v>
      </c>
      <c r="E34" t="s">
        <v>62</v>
      </c>
      <c r="F34" t="s">
        <v>44</v>
      </c>
      <c r="G34" t="s">
        <v>18</v>
      </c>
      <c r="H34">
        <v>3</v>
      </c>
      <c r="I34">
        <v>2</v>
      </c>
      <c r="J34" t="s">
        <v>461</v>
      </c>
      <c r="N34" s="2">
        <v>4500</v>
      </c>
      <c r="P34" s="1"/>
    </row>
    <row r="35" spans="1:17" x14ac:dyDescent="0.25">
      <c r="A35" s="1">
        <v>43838</v>
      </c>
      <c r="B35" t="s">
        <v>435</v>
      </c>
      <c r="C35" t="s">
        <v>422</v>
      </c>
      <c r="D35" t="s">
        <v>96</v>
      </c>
      <c r="E35" t="s">
        <v>92</v>
      </c>
      <c r="F35" t="s">
        <v>43</v>
      </c>
      <c r="G35" t="s">
        <v>18</v>
      </c>
      <c r="H35">
        <v>2</v>
      </c>
      <c r="I35">
        <v>0</v>
      </c>
      <c r="J35" t="s">
        <v>430</v>
      </c>
      <c r="M35">
        <v>61</v>
      </c>
      <c r="N35" s="2">
        <v>19029</v>
      </c>
      <c r="P35" s="1"/>
      <c r="Q35" s="1"/>
    </row>
    <row r="36" spans="1:17" x14ac:dyDescent="0.25">
      <c r="A36" s="1">
        <v>43842</v>
      </c>
      <c r="B36" t="s">
        <v>244</v>
      </c>
      <c r="C36" t="s">
        <v>412</v>
      </c>
      <c r="D36" t="s">
        <v>97</v>
      </c>
      <c r="E36" t="s">
        <v>62</v>
      </c>
      <c r="F36" t="s">
        <v>44</v>
      </c>
      <c r="G36" t="s">
        <v>19</v>
      </c>
      <c r="H36">
        <v>0</v>
      </c>
      <c r="I36">
        <v>1</v>
      </c>
      <c r="J36" t="s">
        <v>438</v>
      </c>
      <c r="K36">
        <v>0.6</v>
      </c>
      <c r="L36">
        <v>1.2</v>
      </c>
      <c r="M36">
        <v>64</v>
      </c>
      <c r="N36" s="2">
        <v>12115</v>
      </c>
    </row>
    <row r="37" spans="1:17" x14ac:dyDescent="0.25">
      <c r="A37" s="1">
        <v>43848</v>
      </c>
      <c r="B37" t="s">
        <v>411</v>
      </c>
      <c r="C37" t="s">
        <v>440</v>
      </c>
      <c r="D37" t="s">
        <v>77</v>
      </c>
      <c r="E37" t="s">
        <v>64</v>
      </c>
      <c r="F37" t="s">
        <v>44</v>
      </c>
      <c r="G37" t="s">
        <v>18</v>
      </c>
      <c r="H37">
        <v>2</v>
      </c>
      <c r="I37">
        <v>0</v>
      </c>
      <c r="J37" t="s">
        <v>462</v>
      </c>
      <c r="M37">
        <v>67</v>
      </c>
      <c r="N37" s="2">
        <v>15491</v>
      </c>
    </row>
    <row r="38" spans="1:17" x14ac:dyDescent="0.25">
      <c r="A38" t="s">
        <v>0</v>
      </c>
      <c r="B38" t="s">
        <v>1</v>
      </c>
      <c r="C38" t="s">
        <v>16</v>
      </c>
      <c r="D38" t="s">
        <v>51</v>
      </c>
      <c r="E38" t="s">
        <v>52</v>
      </c>
      <c r="F38" t="s">
        <v>53</v>
      </c>
      <c r="G38" t="s">
        <v>54</v>
      </c>
      <c r="H38" t="s">
        <v>20</v>
      </c>
      <c r="I38" t="s">
        <v>21</v>
      </c>
      <c r="J38" t="s">
        <v>45</v>
      </c>
      <c r="K38" t="s">
        <v>55</v>
      </c>
      <c r="L38" t="s">
        <v>56</v>
      </c>
      <c r="M38" t="s">
        <v>57</v>
      </c>
      <c r="N38" t="s">
        <v>24</v>
      </c>
    </row>
    <row r="39" spans="1:17" x14ac:dyDescent="0.25">
      <c r="A39" s="1">
        <v>43851</v>
      </c>
      <c r="B39" t="s">
        <v>463</v>
      </c>
      <c r="C39" t="s">
        <v>422</v>
      </c>
      <c r="D39" t="s">
        <v>99</v>
      </c>
      <c r="E39" t="s">
        <v>69</v>
      </c>
      <c r="F39" t="s">
        <v>44</v>
      </c>
      <c r="G39" t="s">
        <v>4</v>
      </c>
      <c r="H39" t="s">
        <v>464</v>
      </c>
      <c r="I39" t="s">
        <v>425</v>
      </c>
      <c r="J39" t="s">
        <v>432</v>
      </c>
      <c r="M39">
        <v>49</v>
      </c>
      <c r="N39" s="2">
        <v>35248</v>
      </c>
      <c r="Q39" s="1"/>
    </row>
    <row r="40" spans="1:17" x14ac:dyDescent="0.25">
      <c r="A40" s="1">
        <v>43856</v>
      </c>
      <c r="B40" t="s">
        <v>181</v>
      </c>
      <c r="C40" t="s">
        <v>412</v>
      </c>
      <c r="D40" t="s">
        <v>98</v>
      </c>
      <c r="E40" t="s">
        <v>62</v>
      </c>
      <c r="F40" t="s">
        <v>43</v>
      </c>
      <c r="G40" t="s">
        <v>19</v>
      </c>
      <c r="H40">
        <v>0</v>
      </c>
      <c r="I40">
        <v>2</v>
      </c>
      <c r="J40" t="s">
        <v>434</v>
      </c>
      <c r="K40">
        <v>0.5</v>
      </c>
      <c r="L40">
        <v>2</v>
      </c>
      <c r="M40">
        <v>42</v>
      </c>
      <c r="N40" s="2">
        <v>49132</v>
      </c>
    </row>
    <row r="41" spans="1:17" x14ac:dyDescent="0.25">
      <c r="A41" s="1">
        <v>43859</v>
      </c>
      <c r="B41" t="s">
        <v>157</v>
      </c>
      <c r="C41" t="s">
        <v>440</v>
      </c>
      <c r="D41" t="s">
        <v>91</v>
      </c>
      <c r="E41" t="s">
        <v>92</v>
      </c>
      <c r="F41" t="s">
        <v>44</v>
      </c>
      <c r="G41" t="s">
        <v>19</v>
      </c>
      <c r="H41">
        <v>1</v>
      </c>
      <c r="I41">
        <v>2</v>
      </c>
      <c r="J41" t="s">
        <v>465</v>
      </c>
      <c r="M41">
        <v>50</v>
      </c>
      <c r="N41" s="2">
        <v>3015</v>
      </c>
      <c r="P41" s="1"/>
      <c r="Q41" s="1"/>
    </row>
    <row r="42" spans="1:17" x14ac:dyDescent="0.25">
      <c r="A42" s="1">
        <v>43862</v>
      </c>
      <c r="B42" t="s">
        <v>155</v>
      </c>
      <c r="C42" t="s">
        <v>412</v>
      </c>
      <c r="D42" t="s">
        <v>100</v>
      </c>
      <c r="E42" t="s">
        <v>64</v>
      </c>
      <c r="F42" t="s">
        <v>44</v>
      </c>
      <c r="G42" t="s">
        <v>18</v>
      </c>
      <c r="H42">
        <v>2</v>
      </c>
      <c r="I42">
        <v>1</v>
      </c>
      <c r="J42" t="s">
        <v>414</v>
      </c>
      <c r="K42">
        <v>1.5</v>
      </c>
      <c r="L42">
        <v>1.3</v>
      </c>
      <c r="M42">
        <v>55</v>
      </c>
      <c r="N42" s="2">
        <v>25139</v>
      </c>
      <c r="P42" s="1"/>
    </row>
    <row r="43" spans="1:17" x14ac:dyDescent="0.25">
      <c r="A43" s="1">
        <v>43865</v>
      </c>
      <c r="B43" t="s">
        <v>162</v>
      </c>
      <c r="C43" t="s">
        <v>412</v>
      </c>
      <c r="D43" t="s">
        <v>101</v>
      </c>
      <c r="E43" t="s">
        <v>69</v>
      </c>
      <c r="F43" t="s">
        <v>43</v>
      </c>
      <c r="G43" t="s">
        <v>18</v>
      </c>
      <c r="H43">
        <v>1</v>
      </c>
      <c r="I43">
        <v>0</v>
      </c>
      <c r="J43" t="s">
        <v>421</v>
      </c>
      <c r="K43">
        <v>0.8</v>
      </c>
      <c r="L43">
        <v>0.5</v>
      </c>
      <c r="M43">
        <v>49</v>
      </c>
      <c r="N43" s="2">
        <v>35030</v>
      </c>
      <c r="P43" s="1"/>
      <c r="Q43" s="1"/>
    </row>
    <row r="44" spans="1:17" x14ac:dyDescent="0.25">
      <c r="A44" s="1">
        <v>43868</v>
      </c>
      <c r="B44" t="s">
        <v>156</v>
      </c>
      <c r="C44" t="s">
        <v>412</v>
      </c>
      <c r="D44" t="s">
        <v>102</v>
      </c>
      <c r="E44" t="s">
        <v>60</v>
      </c>
      <c r="F44" t="s">
        <v>44</v>
      </c>
      <c r="G44" t="s">
        <v>18</v>
      </c>
      <c r="H44">
        <v>2</v>
      </c>
      <c r="I44">
        <v>0</v>
      </c>
      <c r="J44" t="s">
        <v>416</v>
      </c>
      <c r="K44">
        <v>1.6</v>
      </c>
      <c r="L44">
        <v>0.6</v>
      </c>
      <c r="M44">
        <v>50</v>
      </c>
      <c r="N44" s="2">
        <v>9145</v>
      </c>
      <c r="Q44" s="1"/>
    </row>
    <row r="45" spans="1:17" x14ac:dyDescent="0.25">
      <c r="A45" s="1">
        <v>43877</v>
      </c>
      <c r="B45" t="s">
        <v>181</v>
      </c>
      <c r="C45" t="s">
        <v>412</v>
      </c>
      <c r="D45" t="s">
        <v>103</v>
      </c>
      <c r="E45" t="s">
        <v>62</v>
      </c>
      <c r="F45" t="s">
        <v>43</v>
      </c>
      <c r="G45" t="s">
        <v>19</v>
      </c>
      <c r="H45">
        <v>1</v>
      </c>
      <c r="I45">
        <v>2</v>
      </c>
      <c r="J45" t="s">
        <v>427</v>
      </c>
      <c r="K45">
        <v>1.3</v>
      </c>
      <c r="L45">
        <v>1.6</v>
      </c>
      <c r="M45">
        <v>56</v>
      </c>
      <c r="N45" s="2">
        <v>47314</v>
      </c>
      <c r="Q45" s="1"/>
    </row>
    <row r="46" spans="1:17" x14ac:dyDescent="0.25">
      <c r="A46" s="1">
        <v>43883</v>
      </c>
      <c r="B46" t="s">
        <v>155</v>
      </c>
      <c r="C46" t="s">
        <v>412</v>
      </c>
      <c r="D46" t="s">
        <v>104</v>
      </c>
      <c r="E46" t="s">
        <v>64</v>
      </c>
      <c r="F46" t="s">
        <v>43</v>
      </c>
      <c r="G46" t="s">
        <v>18</v>
      </c>
      <c r="H46">
        <v>3</v>
      </c>
      <c r="I46">
        <v>0</v>
      </c>
      <c r="J46" t="s">
        <v>433</v>
      </c>
      <c r="K46">
        <v>2.2999999999999998</v>
      </c>
      <c r="L46">
        <v>0.4</v>
      </c>
      <c r="M46">
        <v>60</v>
      </c>
      <c r="N46" s="2">
        <v>37034</v>
      </c>
      <c r="P46" s="1"/>
    </row>
    <row r="47" spans="1:17" x14ac:dyDescent="0.25">
      <c r="A47" s="1">
        <v>43891</v>
      </c>
      <c r="B47" t="s">
        <v>411</v>
      </c>
      <c r="C47" t="s">
        <v>412</v>
      </c>
      <c r="D47" t="s">
        <v>105</v>
      </c>
      <c r="E47" t="s">
        <v>62</v>
      </c>
      <c r="F47" t="s">
        <v>44</v>
      </c>
      <c r="G47" t="s">
        <v>18</v>
      </c>
      <c r="H47">
        <v>1</v>
      </c>
      <c r="I47">
        <v>0</v>
      </c>
      <c r="J47" t="s">
        <v>413</v>
      </c>
      <c r="K47">
        <v>2.2000000000000002</v>
      </c>
      <c r="L47">
        <v>0.4</v>
      </c>
      <c r="M47">
        <v>49</v>
      </c>
      <c r="N47" s="2">
        <v>20704</v>
      </c>
      <c r="P47" s="1"/>
      <c r="Q47" s="1"/>
    </row>
    <row r="48" spans="1:17" x14ac:dyDescent="0.25">
      <c r="A48" s="1">
        <v>43898</v>
      </c>
      <c r="B48" t="s">
        <v>198</v>
      </c>
      <c r="C48" t="s">
        <v>412</v>
      </c>
      <c r="D48" t="s">
        <v>106</v>
      </c>
      <c r="E48" t="s">
        <v>62</v>
      </c>
      <c r="F48" t="s">
        <v>43</v>
      </c>
      <c r="G48" t="s">
        <v>18</v>
      </c>
      <c r="H48">
        <v>1</v>
      </c>
      <c r="I48">
        <v>0</v>
      </c>
      <c r="J48" t="s">
        <v>432</v>
      </c>
      <c r="K48">
        <v>1.1000000000000001</v>
      </c>
      <c r="L48">
        <v>1.3</v>
      </c>
      <c r="M48">
        <v>44</v>
      </c>
      <c r="N48" s="2">
        <v>40164</v>
      </c>
      <c r="Q48" s="1"/>
    </row>
    <row r="49" spans="1:10" x14ac:dyDescent="0.25">
      <c r="A49" s="1">
        <v>43904</v>
      </c>
      <c r="B49" t="s">
        <v>161</v>
      </c>
      <c r="C49" t="s">
        <v>412</v>
      </c>
      <c r="D49" t="s">
        <v>107</v>
      </c>
      <c r="E49" t="s">
        <v>64</v>
      </c>
      <c r="F49" t="s">
        <v>44</v>
      </c>
      <c r="J49" t="s">
        <v>459</v>
      </c>
    </row>
    <row r="50" spans="1:10" x14ac:dyDescent="0.25">
      <c r="A50" s="1">
        <v>43910</v>
      </c>
      <c r="B50" t="s">
        <v>180</v>
      </c>
      <c r="C50" t="s">
        <v>412</v>
      </c>
      <c r="D50" t="s">
        <v>108</v>
      </c>
      <c r="E50" t="s">
        <v>60</v>
      </c>
      <c r="F50" t="s">
        <v>43</v>
      </c>
      <c r="J50" t="s">
        <v>419</v>
      </c>
    </row>
    <row r="51" spans="1:10" x14ac:dyDescent="0.25">
      <c r="A51" s="1">
        <v>43925</v>
      </c>
      <c r="B51" t="s">
        <v>243</v>
      </c>
      <c r="C51" t="s">
        <v>412</v>
      </c>
      <c r="D51" t="s">
        <v>109</v>
      </c>
      <c r="E51" t="s">
        <v>64</v>
      </c>
      <c r="F51" t="s">
        <v>44</v>
      </c>
      <c r="J51" t="s">
        <v>431</v>
      </c>
    </row>
    <row r="52" spans="1:10" x14ac:dyDescent="0.25">
      <c r="A52" s="1">
        <v>43932</v>
      </c>
      <c r="C52" t="s">
        <v>412</v>
      </c>
      <c r="D52" t="s">
        <v>110</v>
      </c>
      <c r="E52" t="s">
        <v>64</v>
      </c>
      <c r="F52" t="s">
        <v>44</v>
      </c>
      <c r="J52" t="s">
        <v>428</v>
      </c>
    </row>
    <row r="53" spans="1:10" x14ac:dyDescent="0.25">
      <c r="A53" s="1">
        <v>43939</v>
      </c>
      <c r="C53" t="s">
        <v>412</v>
      </c>
      <c r="D53" t="s">
        <v>111</v>
      </c>
      <c r="E53" t="s">
        <v>64</v>
      </c>
      <c r="F53" t="s">
        <v>43</v>
      </c>
      <c r="J53" t="s">
        <v>437</v>
      </c>
    </row>
    <row r="54" spans="1:10" x14ac:dyDescent="0.25">
      <c r="A54" s="1">
        <v>43947</v>
      </c>
      <c r="C54" t="s">
        <v>412</v>
      </c>
      <c r="D54" t="s">
        <v>112</v>
      </c>
      <c r="E54" t="s">
        <v>62</v>
      </c>
      <c r="F54" t="s">
        <v>44</v>
      </c>
      <c r="J54" t="s">
        <v>448</v>
      </c>
    </row>
    <row r="55" spans="1:10" x14ac:dyDescent="0.25">
      <c r="A55" s="1">
        <v>43953</v>
      </c>
      <c r="C55" t="s">
        <v>412</v>
      </c>
      <c r="D55" t="s">
        <v>113</v>
      </c>
      <c r="E55" t="s">
        <v>64</v>
      </c>
      <c r="F55" t="s">
        <v>43</v>
      </c>
      <c r="J55" t="s">
        <v>447</v>
      </c>
    </row>
    <row r="56" spans="1:10" x14ac:dyDescent="0.25">
      <c r="A56" s="1">
        <v>43960</v>
      </c>
      <c r="C56" t="s">
        <v>412</v>
      </c>
      <c r="D56" t="s">
        <v>114</v>
      </c>
      <c r="E56" t="s">
        <v>64</v>
      </c>
      <c r="F56" t="s">
        <v>44</v>
      </c>
      <c r="J56" t="s">
        <v>429</v>
      </c>
    </row>
    <row r="57" spans="1:10" x14ac:dyDescent="0.25">
      <c r="A57" s="1">
        <v>43967</v>
      </c>
      <c r="C57" t="s">
        <v>412</v>
      </c>
      <c r="D57" t="s">
        <v>115</v>
      </c>
      <c r="E57" t="s">
        <v>64</v>
      </c>
      <c r="F57" t="s">
        <v>43</v>
      </c>
      <c r="J57" t="s">
        <v>430</v>
      </c>
    </row>
    <row r="58" spans="1:10" x14ac:dyDescent="0.25">
      <c r="A58" s="1">
        <v>43974</v>
      </c>
      <c r="C58" t="s">
        <v>412</v>
      </c>
      <c r="D58" t="s">
        <v>116</v>
      </c>
      <c r="E58" t="s">
        <v>64</v>
      </c>
      <c r="F58" t="s">
        <v>44</v>
      </c>
      <c r="J58" t="s">
        <v>417</v>
      </c>
    </row>
    <row r="60" spans="1:10" x14ac:dyDescent="0.25">
      <c r="A60" t="s">
        <v>385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EF06C-D93C-4744-8471-D1764C385AC1}">
  <dimension ref="A1:Q59"/>
  <sheetViews>
    <sheetView workbookViewId="0">
      <selection activeCell="O1" sqref="O1:V1048576"/>
    </sheetView>
  </sheetViews>
  <sheetFormatPr defaultRowHeight="15" x14ac:dyDescent="0.25"/>
  <cols>
    <col min="1" max="1" width="11" customWidth="1"/>
  </cols>
  <sheetData>
    <row r="1" spans="1:17" x14ac:dyDescent="0.25">
      <c r="A1" t="s">
        <v>466</v>
      </c>
    </row>
    <row r="2" spans="1:17" x14ac:dyDescent="0.25">
      <c r="A2" t="s">
        <v>467</v>
      </c>
    </row>
    <row r="3" spans="1:17" x14ac:dyDescent="0.25">
      <c r="A3" t="s">
        <v>468</v>
      </c>
    </row>
    <row r="4" spans="1:17" x14ac:dyDescent="0.25">
      <c r="A4" t="s">
        <v>469</v>
      </c>
    </row>
    <row r="7" spans="1:17" x14ac:dyDescent="0.25">
      <c r="A7" t="s">
        <v>0</v>
      </c>
      <c r="B7" t="s">
        <v>1</v>
      </c>
      <c r="C7" t="s">
        <v>16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 t="s">
        <v>45</v>
      </c>
      <c r="K7" t="s">
        <v>55</v>
      </c>
      <c r="L7" t="s">
        <v>56</v>
      </c>
      <c r="M7" t="s">
        <v>57</v>
      </c>
      <c r="N7" t="s">
        <v>24</v>
      </c>
    </row>
    <row r="8" spans="1:17" x14ac:dyDescent="0.25">
      <c r="A8" s="1">
        <v>44065</v>
      </c>
      <c r="B8" t="s">
        <v>181</v>
      </c>
      <c r="C8" t="s">
        <v>412</v>
      </c>
      <c r="D8" t="s">
        <v>59</v>
      </c>
      <c r="E8" t="s">
        <v>64</v>
      </c>
      <c r="F8" t="s">
        <v>43</v>
      </c>
      <c r="G8" t="s">
        <v>4</v>
      </c>
      <c r="H8">
        <v>1</v>
      </c>
      <c r="I8">
        <v>1</v>
      </c>
      <c r="J8" t="s">
        <v>421</v>
      </c>
      <c r="K8">
        <v>0.4</v>
      </c>
      <c r="L8">
        <v>1.6</v>
      </c>
      <c r="M8">
        <v>52</v>
      </c>
      <c r="N8" s="2">
        <v>3975</v>
      </c>
      <c r="Q8" s="1"/>
    </row>
    <row r="9" spans="1:17" x14ac:dyDescent="0.25">
      <c r="A9" s="1">
        <v>44073</v>
      </c>
      <c r="B9" t="s">
        <v>154</v>
      </c>
      <c r="C9" t="s">
        <v>412</v>
      </c>
      <c r="D9" t="s">
        <v>61</v>
      </c>
      <c r="E9" t="s">
        <v>62</v>
      </c>
      <c r="F9" t="s">
        <v>44</v>
      </c>
      <c r="G9" t="s">
        <v>18</v>
      </c>
      <c r="H9">
        <v>1</v>
      </c>
      <c r="I9">
        <v>0</v>
      </c>
      <c r="J9" t="s">
        <v>447</v>
      </c>
      <c r="K9">
        <v>1.2</v>
      </c>
      <c r="L9">
        <v>0.3</v>
      </c>
      <c r="M9">
        <v>50</v>
      </c>
      <c r="P9" s="1"/>
    </row>
    <row r="10" spans="1:17" x14ac:dyDescent="0.25">
      <c r="A10" s="1">
        <v>44087</v>
      </c>
      <c r="B10" t="s">
        <v>154</v>
      </c>
      <c r="C10" t="s">
        <v>412</v>
      </c>
      <c r="D10" t="s">
        <v>63</v>
      </c>
      <c r="E10" t="s">
        <v>62</v>
      </c>
      <c r="F10" t="s">
        <v>43</v>
      </c>
      <c r="G10" t="s">
        <v>18</v>
      </c>
      <c r="H10">
        <v>1</v>
      </c>
      <c r="I10">
        <v>0</v>
      </c>
      <c r="J10" t="s">
        <v>428</v>
      </c>
      <c r="K10">
        <v>1.5</v>
      </c>
      <c r="L10">
        <v>0.8</v>
      </c>
      <c r="M10">
        <v>61</v>
      </c>
      <c r="P10" s="1"/>
      <c r="Q10" s="1"/>
    </row>
    <row r="11" spans="1:17" x14ac:dyDescent="0.25">
      <c r="A11" s="1">
        <v>44094</v>
      </c>
      <c r="B11" t="s">
        <v>181</v>
      </c>
      <c r="C11" t="s">
        <v>412</v>
      </c>
      <c r="D11" t="s">
        <v>66</v>
      </c>
      <c r="E11" t="s">
        <v>62</v>
      </c>
      <c r="F11" t="s">
        <v>44</v>
      </c>
      <c r="G11" t="s">
        <v>4</v>
      </c>
      <c r="H11">
        <v>1</v>
      </c>
      <c r="I11">
        <v>1</v>
      </c>
      <c r="J11" t="s">
        <v>427</v>
      </c>
      <c r="K11">
        <v>1.5</v>
      </c>
      <c r="L11">
        <v>0.7</v>
      </c>
      <c r="M11">
        <v>44</v>
      </c>
      <c r="P11" s="1"/>
    </row>
    <row r="12" spans="1:17" x14ac:dyDescent="0.25">
      <c r="A12" s="1">
        <v>44099</v>
      </c>
      <c r="B12" t="s">
        <v>181</v>
      </c>
      <c r="C12" t="s">
        <v>412</v>
      </c>
      <c r="D12" t="s">
        <v>68</v>
      </c>
      <c r="E12" t="s">
        <v>60</v>
      </c>
      <c r="F12" t="s">
        <v>43</v>
      </c>
      <c r="G12" t="s">
        <v>18</v>
      </c>
      <c r="H12">
        <v>2</v>
      </c>
      <c r="I12">
        <v>0</v>
      </c>
      <c r="J12" t="s">
        <v>413</v>
      </c>
      <c r="K12">
        <v>1.8</v>
      </c>
      <c r="L12">
        <v>0.8</v>
      </c>
      <c r="M12">
        <v>54</v>
      </c>
      <c r="P12" s="1"/>
      <c r="Q12" s="1"/>
    </row>
    <row r="13" spans="1:17" x14ac:dyDescent="0.25">
      <c r="A13" s="1">
        <v>44108</v>
      </c>
      <c r="B13" t="s">
        <v>411</v>
      </c>
      <c r="C13" t="s">
        <v>412</v>
      </c>
      <c r="D13" t="s">
        <v>71</v>
      </c>
      <c r="E13" t="s">
        <v>62</v>
      </c>
      <c r="F13" t="s">
        <v>44</v>
      </c>
      <c r="G13" t="s">
        <v>18</v>
      </c>
      <c r="H13">
        <v>3</v>
      </c>
      <c r="I13">
        <v>0</v>
      </c>
      <c r="J13" t="s">
        <v>414</v>
      </c>
      <c r="K13">
        <v>1.8</v>
      </c>
      <c r="L13">
        <v>1.6</v>
      </c>
      <c r="M13">
        <v>53</v>
      </c>
      <c r="Q13" s="1"/>
    </row>
    <row r="14" spans="1:17" x14ac:dyDescent="0.25">
      <c r="A14" s="1">
        <v>44122</v>
      </c>
      <c r="B14" t="s">
        <v>181</v>
      </c>
      <c r="C14" t="s">
        <v>412</v>
      </c>
      <c r="D14" t="s">
        <v>72</v>
      </c>
      <c r="E14" t="s">
        <v>62</v>
      </c>
      <c r="F14" t="s">
        <v>43</v>
      </c>
      <c r="G14" t="s">
        <v>18</v>
      </c>
      <c r="H14">
        <v>4</v>
      </c>
      <c r="I14">
        <v>0</v>
      </c>
      <c r="J14" t="s">
        <v>470</v>
      </c>
      <c r="K14">
        <v>2.5</v>
      </c>
      <c r="L14">
        <v>0.4</v>
      </c>
      <c r="M14">
        <v>57</v>
      </c>
      <c r="P14" s="1"/>
    </row>
    <row r="15" spans="1:17" x14ac:dyDescent="0.25">
      <c r="A15" s="1">
        <v>44126</v>
      </c>
      <c r="B15" t="s">
        <v>181</v>
      </c>
      <c r="C15" t="s">
        <v>193</v>
      </c>
      <c r="D15" t="s">
        <v>119</v>
      </c>
      <c r="E15" t="s">
        <v>85</v>
      </c>
      <c r="F15" t="s">
        <v>44</v>
      </c>
      <c r="G15" t="s">
        <v>18</v>
      </c>
      <c r="H15">
        <v>4</v>
      </c>
      <c r="I15">
        <v>1</v>
      </c>
      <c r="J15" t="s">
        <v>471</v>
      </c>
      <c r="K15">
        <v>2.2000000000000002</v>
      </c>
      <c r="L15">
        <v>1</v>
      </c>
      <c r="M15">
        <v>50</v>
      </c>
    </row>
    <row r="16" spans="1:17" x14ac:dyDescent="0.25">
      <c r="A16" s="1">
        <v>44129</v>
      </c>
      <c r="B16" t="s">
        <v>472</v>
      </c>
      <c r="C16" t="s">
        <v>412</v>
      </c>
      <c r="D16" t="s">
        <v>74</v>
      </c>
      <c r="E16" t="s">
        <v>62</v>
      </c>
      <c r="F16" t="s">
        <v>44</v>
      </c>
      <c r="G16" t="s">
        <v>4</v>
      </c>
      <c r="H16">
        <v>1</v>
      </c>
      <c r="I16">
        <v>1</v>
      </c>
      <c r="J16" t="s">
        <v>437</v>
      </c>
      <c r="K16">
        <v>0.6</v>
      </c>
      <c r="L16">
        <v>1.2</v>
      </c>
      <c r="M16">
        <v>47</v>
      </c>
      <c r="P16" s="1"/>
      <c r="Q16" s="1"/>
    </row>
    <row r="17" spans="1:17" x14ac:dyDescent="0.25">
      <c r="A17" s="1">
        <v>44133</v>
      </c>
      <c r="B17" t="s">
        <v>383</v>
      </c>
      <c r="C17" t="s">
        <v>193</v>
      </c>
      <c r="D17" t="s">
        <v>119</v>
      </c>
      <c r="E17" t="s">
        <v>85</v>
      </c>
      <c r="F17" t="s">
        <v>43</v>
      </c>
      <c r="G17" t="s">
        <v>4</v>
      </c>
      <c r="H17">
        <v>2</v>
      </c>
      <c r="I17">
        <v>2</v>
      </c>
      <c r="J17" t="s">
        <v>297</v>
      </c>
      <c r="K17">
        <v>2.2999999999999998</v>
      </c>
      <c r="L17">
        <v>0.5</v>
      </c>
      <c r="M17">
        <v>70</v>
      </c>
      <c r="P17" s="1"/>
    </row>
    <row r="18" spans="1:17" x14ac:dyDescent="0.25">
      <c r="A18" s="1">
        <v>44136</v>
      </c>
      <c r="B18" t="s">
        <v>181</v>
      </c>
      <c r="C18" t="s">
        <v>412</v>
      </c>
      <c r="D18" t="s">
        <v>75</v>
      </c>
      <c r="E18" t="s">
        <v>62</v>
      </c>
      <c r="F18" t="s">
        <v>43</v>
      </c>
      <c r="G18" t="s">
        <v>4</v>
      </c>
      <c r="H18">
        <v>1</v>
      </c>
      <c r="I18">
        <v>1</v>
      </c>
      <c r="J18" t="s">
        <v>432</v>
      </c>
      <c r="K18">
        <v>0.6</v>
      </c>
      <c r="L18">
        <v>0.6</v>
      </c>
      <c r="M18">
        <v>60</v>
      </c>
      <c r="P18" s="1"/>
      <c r="Q18" s="1"/>
    </row>
    <row r="19" spans="1:17" x14ac:dyDescent="0.25">
      <c r="A19" s="1">
        <v>44140</v>
      </c>
      <c r="B19" t="s">
        <v>181</v>
      </c>
      <c r="C19" t="s">
        <v>193</v>
      </c>
      <c r="D19" t="s">
        <v>119</v>
      </c>
      <c r="E19" t="s">
        <v>85</v>
      </c>
      <c r="F19" t="s">
        <v>44</v>
      </c>
      <c r="G19" t="s">
        <v>18</v>
      </c>
      <c r="H19">
        <v>3</v>
      </c>
      <c r="I19">
        <v>0</v>
      </c>
      <c r="J19" t="s">
        <v>473</v>
      </c>
      <c r="K19">
        <v>1.8</v>
      </c>
      <c r="L19">
        <v>1</v>
      </c>
      <c r="M19">
        <v>45</v>
      </c>
    </row>
    <row r="20" spans="1:17" x14ac:dyDescent="0.25">
      <c r="A20" s="1">
        <v>44143</v>
      </c>
      <c r="B20" t="s">
        <v>154</v>
      </c>
      <c r="C20" t="s">
        <v>412</v>
      </c>
      <c r="D20" t="s">
        <v>79</v>
      </c>
      <c r="E20" t="s">
        <v>62</v>
      </c>
      <c r="F20" t="s">
        <v>44</v>
      </c>
      <c r="G20" t="s">
        <v>19</v>
      </c>
      <c r="H20">
        <v>2</v>
      </c>
      <c r="I20">
        <v>3</v>
      </c>
      <c r="J20" t="s">
        <v>459</v>
      </c>
      <c r="K20">
        <v>3</v>
      </c>
      <c r="L20">
        <v>1.3</v>
      </c>
      <c r="M20">
        <v>63</v>
      </c>
      <c r="P20" s="1"/>
      <c r="Q20" s="1"/>
    </row>
    <row r="21" spans="1:17" x14ac:dyDescent="0.25">
      <c r="A21" s="1">
        <v>44157</v>
      </c>
      <c r="B21" t="s">
        <v>181</v>
      </c>
      <c r="C21" t="s">
        <v>412</v>
      </c>
      <c r="D21" t="s">
        <v>81</v>
      </c>
      <c r="E21" t="s">
        <v>62</v>
      </c>
      <c r="F21" t="s">
        <v>43</v>
      </c>
      <c r="G21" t="s">
        <v>18</v>
      </c>
      <c r="H21">
        <v>4</v>
      </c>
      <c r="I21">
        <v>0</v>
      </c>
      <c r="J21" t="s">
        <v>474</v>
      </c>
      <c r="K21">
        <v>3.6</v>
      </c>
      <c r="L21">
        <v>0.9</v>
      </c>
      <c r="M21">
        <v>64</v>
      </c>
      <c r="P21" s="1"/>
    </row>
    <row r="22" spans="1:17" x14ac:dyDescent="0.25">
      <c r="A22" s="1">
        <v>44161</v>
      </c>
      <c r="B22" t="s">
        <v>201</v>
      </c>
      <c r="C22" t="s">
        <v>193</v>
      </c>
      <c r="D22" t="s">
        <v>119</v>
      </c>
      <c r="E22" t="s">
        <v>85</v>
      </c>
      <c r="F22" t="s">
        <v>43</v>
      </c>
      <c r="G22" t="s">
        <v>4</v>
      </c>
      <c r="H22">
        <v>1</v>
      </c>
      <c r="I22">
        <v>1</v>
      </c>
      <c r="J22" t="s">
        <v>473</v>
      </c>
      <c r="K22">
        <v>0.5</v>
      </c>
      <c r="L22">
        <v>0.8</v>
      </c>
      <c r="M22">
        <v>43</v>
      </c>
      <c r="P22" s="1"/>
    </row>
    <row r="23" spans="1:17" x14ac:dyDescent="0.25">
      <c r="A23" s="1">
        <v>44164</v>
      </c>
      <c r="B23" t="s">
        <v>181</v>
      </c>
      <c r="C23" t="s">
        <v>412</v>
      </c>
      <c r="D23" t="s">
        <v>83</v>
      </c>
      <c r="E23" t="s">
        <v>62</v>
      </c>
      <c r="F23" t="s">
        <v>44</v>
      </c>
      <c r="G23" t="s">
        <v>4</v>
      </c>
      <c r="H23">
        <v>1</v>
      </c>
      <c r="I23">
        <v>1</v>
      </c>
      <c r="J23" t="s">
        <v>429</v>
      </c>
      <c r="K23">
        <v>0.5</v>
      </c>
      <c r="L23">
        <v>1</v>
      </c>
      <c r="M23">
        <v>62</v>
      </c>
      <c r="P23" s="1"/>
      <c r="Q23" s="1"/>
    </row>
    <row r="24" spans="1:17" x14ac:dyDescent="0.25">
      <c r="A24" s="1">
        <v>44168</v>
      </c>
      <c r="B24" t="s">
        <v>201</v>
      </c>
      <c r="C24" t="s">
        <v>193</v>
      </c>
      <c r="D24" t="s">
        <v>119</v>
      </c>
      <c r="E24" t="s">
        <v>85</v>
      </c>
      <c r="F24" t="s">
        <v>43</v>
      </c>
      <c r="G24" t="s">
        <v>18</v>
      </c>
      <c r="H24">
        <v>2</v>
      </c>
      <c r="I24">
        <v>1</v>
      </c>
      <c r="J24" t="s">
        <v>471</v>
      </c>
      <c r="K24">
        <v>2.8</v>
      </c>
      <c r="L24">
        <v>0.6</v>
      </c>
      <c r="M24">
        <v>60</v>
      </c>
      <c r="P24" s="1"/>
      <c r="Q24" s="1"/>
    </row>
    <row r="25" spans="1:17" x14ac:dyDescent="0.25">
      <c r="A25" s="1">
        <v>44171</v>
      </c>
      <c r="B25" t="s">
        <v>154</v>
      </c>
      <c r="C25" t="s">
        <v>412</v>
      </c>
      <c r="D25" t="s">
        <v>84</v>
      </c>
      <c r="E25" t="s">
        <v>62</v>
      </c>
      <c r="F25" t="s">
        <v>43</v>
      </c>
      <c r="G25" t="s">
        <v>18</v>
      </c>
      <c r="H25">
        <v>2</v>
      </c>
      <c r="I25">
        <v>1</v>
      </c>
      <c r="J25" t="s">
        <v>419</v>
      </c>
      <c r="K25">
        <v>1.3</v>
      </c>
      <c r="L25">
        <v>0.9</v>
      </c>
      <c r="M25">
        <v>42</v>
      </c>
      <c r="P25" s="1"/>
      <c r="Q25" s="1"/>
    </row>
    <row r="26" spans="1:17" x14ac:dyDescent="0.25">
      <c r="A26" s="1">
        <v>44175</v>
      </c>
      <c r="B26" t="s">
        <v>161</v>
      </c>
      <c r="C26" t="s">
        <v>193</v>
      </c>
      <c r="D26" t="s">
        <v>119</v>
      </c>
      <c r="E26" t="s">
        <v>85</v>
      </c>
      <c r="F26" t="s">
        <v>44</v>
      </c>
      <c r="G26" t="s">
        <v>19</v>
      </c>
      <c r="H26">
        <v>2</v>
      </c>
      <c r="I26">
        <v>3</v>
      </c>
      <c r="J26" t="s">
        <v>297</v>
      </c>
      <c r="K26">
        <v>1.5</v>
      </c>
      <c r="L26">
        <v>1.3</v>
      </c>
      <c r="M26">
        <v>65</v>
      </c>
      <c r="N26">
        <v>300</v>
      </c>
      <c r="P26" s="1"/>
      <c r="Q26" s="1"/>
    </row>
    <row r="27" spans="1:17" x14ac:dyDescent="0.25">
      <c r="A27" s="1">
        <v>44178</v>
      </c>
      <c r="B27" t="s">
        <v>244</v>
      </c>
      <c r="C27" t="s">
        <v>412</v>
      </c>
      <c r="D27" t="s">
        <v>86</v>
      </c>
      <c r="E27" t="s">
        <v>62</v>
      </c>
      <c r="F27" t="s">
        <v>43</v>
      </c>
      <c r="G27" t="s">
        <v>18</v>
      </c>
      <c r="H27">
        <v>2</v>
      </c>
      <c r="I27">
        <v>1</v>
      </c>
      <c r="J27" t="s">
        <v>417</v>
      </c>
      <c r="K27">
        <v>1.1000000000000001</v>
      </c>
      <c r="L27">
        <v>0.7</v>
      </c>
      <c r="M27">
        <v>56</v>
      </c>
      <c r="P27" s="1"/>
      <c r="Q27" s="1"/>
    </row>
    <row r="28" spans="1:17" x14ac:dyDescent="0.25">
      <c r="A28" s="1">
        <v>44181</v>
      </c>
      <c r="B28" t="s">
        <v>162</v>
      </c>
      <c r="C28" t="s">
        <v>412</v>
      </c>
      <c r="D28" t="s">
        <v>87</v>
      </c>
      <c r="E28" t="s">
        <v>92</v>
      </c>
      <c r="F28" t="s">
        <v>44</v>
      </c>
      <c r="G28" t="s">
        <v>18</v>
      </c>
      <c r="H28">
        <v>2</v>
      </c>
      <c r="I28">
        <v>0</v>
      </c>
      <c r="J28" t="s">
        <v>438</v>
      </c>
      <c r="K28">
        <v>0.8</v>
      </c>
      <c r="L28">
        <v>0.2</v>
      </c>
      <c r="M28">
        <v>53</v>
      </c>
    </row>
    <row r="29" spans="1:17" x14ac:dyDescent="0.25">
      <c r="A29" s="1">
        <v>44185</v>
      </c>
      <c r="B29" t="s">
        <v>181</v>
      </c>
      <c r="C29" t="s">
        <v>412</v>
      </c>
      <c r="D29" t="s">
        <v>88</v>
      </c>
      <c r="E29" t="s">
        <v>62</v>
      </c>
      <c r="F29" t="s">
        <v>43</v>
      </c>
      <c r="G29" t="s">
        <v>4</v>
      </c>
      <c r="H29">
        <v>0</v>
      </c>
      <c r="I29">
        <v>0</v>
      </c>
      <c r="J29" t="s">
        <v>434</v>
      </c>
      <c r="K29">
        <v>0.5</v>
      </c>
      <c r="L29">
        <v>0.7</v>
      </c>
      <c r="M29">
        <v>31</v>
      </c>
      <c r="Q29" s="1"/>
    </row>
    <row r="30" spans="1:17" x14ac:dyDescent="0.25">
      <c r="A30" s="1">
        <v>44188</v>
      </c>
      <c r="B30" t="s">
        <v>181</v>
      </c>
      <c r="C30" t="s">
        <v>412</v>
      </c>
      <c r="D30" t="s">
        <v>90</v>
      </c>
      <c r="E30" t="s">
        <v>92</v>
      </c>
      <c r="F30" t="s">
        <v>44</v>
      </c>
      <c r="G30" t="s">
        <v>18</v>
      </c>
      <c r="H30">
        <v>3</v>
      </c>
      <c r="I30">
        <v>2</v>
      </c>
      <c r="J30" t="s">
        <v>431</v>
      </c>
      <c r="K30">
        <v>1.8</v>
      </c>
      <c r="L30">
        <v>1.5</v>
      </c>
      <c r="M30">
        <v>53</v>
      </c>
      <c r="P30" s="1"/>
    </row>
    <row r="31" spans="1:17" x14ac:dyDescent="0.25">
      <c r="A31" s="1">
        <v>44202</v>
      </c>
      <c r="B31" t="s">
        <v>181</v>
      </c>
      <c r="C31" t="s">
        <v>412</v>
      </c>
      <c r="D31" t="s">
        <v>93</v>
      </c>
      <c r="E31" t="s">
        <v>92</v>
      </c>
      <c r="F31" t="s">
        <v>43</v>
      </c>
      <c r="G31" t="s">
        <v>19</v>
      </c>
      <c r="H31">
        <v>1</v>
      </c>
      <c r="I31">
        <v>2</v>
      </c>
      <c r="J31" t="s">
        <v>416</v>
      </c>
      <c r="K31">
        <v>0.4</v>
      </c>
      <c r="L31">
        <v>0.6</v>
      </c>
      <c r="M31">
        <v>65</v>
      </c>
      <c r="P31" s="1"/>
    </row>
    <row r="32" spans="1:17" x14ac:dyDescent="0.25">
      <c r="A32" s="1">
        <v>44205</v>
      </c>
      <c r="B32" t="s">
        <v>181</v>
      </c>
      <c r="C32" t="s">
        <v>412</v>
      </c>
      <c r="D32" t="s">
        <v>94</v>
      </c>
      <c r="E32" t="s">
        <v>64</v>
      </c>
      <c r="F32" t="s">
        <v>44</v>
      </c>
      <c r="G32" t="s">
        <v>18</v>
      </c>
      <c r="H32">
        <v>1</v>
      </c>
      <c r="I32">
        <v>0</v>
      </c>
      <c r="J32" t="s">
        <v>448</v>
      </c>
      <c r="K32">
        <v>0.9</v>
      </c>
      <c r="L32">
        <v>0.4</v>
      </c>
      <c r="M32">
        <v>52</v>
      </c>
      <c r="P32" s="1"/>
    </row>
    <row r="33" spans="1:17" x14ac:dyDescent="0.25">
      <c r="A33" s="1">
        <v>44213</v>
      </c>
      <c r="B33" t="s">
        <v>244</v>
      </c>
      <c r="C33" t="s">
        <v>412</v>
      </c>
      <c r="D33" t="s">
        <v>97</v>
      </c>
      <c r="E33" t="s">
        <v>62</v>
      </c>
      <c r="F33" t="s">
        <v>43</v>
      </c>
      <c r="G33" t="s">
        <v>18</v>
      </c>
      <c r="H33">
        <v>2</v>
      </c>
      <c r="I33">
        <v>1</v>
      </c>
      <c r="J33" t="s">
        <v>447</v>
      </c>
      <c r="K33">
        <v>1.6</v>
      </c>
      <c r="L33">
        <v>0.3</v>
      </c>
      <c r="M33">
        <v>61</v>
      </c>
      <c r="P33" s="1"/>
    </row>
    <row r="34" spans="1:17" x14ac:dyDescent="0.25">
      <c r="A34" s="1">
        <v>44220</v>
      </c>
      <c r="B34" t="s">
        <v>244</v>
      </c>
      <c r="C34" t="s">
        <v>412</v>
      </c>
      <c r="D34" t="s">
        <v>98</v>
      </c>
      <c r="E34" t="s">
        <v>62</v>
      </c>
      <c r="F34" t="s">
        <v>44</v>
      </c>
      <c r="G34" t="s">
        <v>18</v>
      </c>
      <c r="H34">
        <v>1</v>
      </c>
      <c r="I34">
        <v>0</v>
      </c>
      <c r="J34" t="s">
        <v>421</v>
      </c>
      <c r="K34">
        <v>0.5</v>
      </c>
      <c r="L34">
        <v>0.7</v>
      </c>
      <c r="M34">
        <v>33</v>
      </c>
      <c r="P34" s="1"/>
    </row>
    <row r="35" spans="1:17" x14ac:dyDescent="0.25">
      <c r="A35" s="1">
        <v>44227</v>
      </c>
      <c r="B35" t="s">
        <v>244</v>
      </c>
      <c r="C35" t="s">
        <v>412</v>
      </c>
      <c r="D35" t="s">
        <v>100</v>
      </c>
      <c r="E35" t="s">
        <v>62</v>
      </c>
      <c r="F35" t="s">
        <v>43</v>
      </c>
      <c r="G35" t="s">
        <v>18</v>
      </c>
      <c r="H35">
        <v>1</v>
      </c>
      <c r="I35">
        <v>0</v>
      </c>
      <c r="J35" t="s">
        <v>438</v>
      </c>
      <c r="K35">
        <v>1.7</v>
      </c>
      <c r="L35">
        <v>0.4</v>
      </c>
      <c r="M35">
        <v>59</v>
      </c>
      <c r="P35" s="1"/>
    </row>
    <row r="36" spans="1:17" x14ac:dyDescent="0.25">
      <c r="A36" s="1">
        <v>44230</v>
      </c>
      <c r="B36" t="s">
        <v>162</v>
      </c>
      <c r="C36" t="s">
        <v>412</v>
      </c>
      <c r="D36" t="s">
        <v>101</v>
      </c>
      <c r="E36" t="s">
        <v>92</v>
      </c>
      <c r="F36" t="s">
        <v>44</v>
      </c>
      <c r="G36" t="s">
        <v>18</v>
      </c>
      <c r="H36">
        <v>3</v>
      </c>
      <c r="I36">
        <v>0</v>
      </c>
      <c r="J36" t="s">
        <v>417</v>
      </c>
      <c r="K36">
        <v>1.7</v>
      </c>
      <c r="L36">
        <v>1.1000000000000001</v>
      </c>
      <c r="M36">
        <v>46</v>
      </c>
      <c r="P36" s="1"/>
    </row>
    <row r="37" spans="1:17" x14ac:dyDescent="0.25">
      <c r="A37" s="1">
        <v>44234</v>
      </c>
      <c r="B37" t="s">
        <v>244</v>
      </c>
      <c r="C37" t="s">
        <v>412</v>
      </c>
      <c r="D37" t="s">
        <v>102</v>
      </c>
      <c r="E37" t="s">
        <v>62</v>
      </c>
      <c r="F37" t="s">
        <v>44</v>
      </c>
      <c r="G37" t="s">
        <v>18</v>
      </c>
      <c r="H37">
        <v>2</v>
      </c>
      <c r="I37">
        <v>0</v>
      </c>
      <c r="J37" t="s">
        <v>413</v>
      </c>
      <c r="K37">
        <v>1.5</v>
      </c>
      <c r="L37">
        <v>0.7</v>
      </c>
      <c r="M37">
        <v>56</v>
      </c>
      <c r="P37" s="1"/>
    </row>
    <row r="38" spans="1:17" x14ac:dyDescent="0.25">
      <c r="A38" t="s">
        <v>0</v>
      </c>
      <c r="B38" t="s">
        <v>1</v>
      </c>
      <c r="C38" t="s">
        <v>16</v>
      </c>
      <c r="D38" t="s">
        <v>51</v>
      </c>
      <c r="E38" t="s">
        <v>52</v>
      </c>
      <c r="F38" t="s">
        <v>53</v>
      </c>
      <c r="G38" t="s">
        <v>54</v>
      </c>
      <c r="H38" t="s">
        <v>20</v>
      </c>
      <c r="I38" t="s">
        <v>21</v>
      </c>
      <c r="J38" t="s">
        <v>45</v>
      </c>
      <c r="K38" t="s">
        <v>55</v>
      </c>
      <c r="L38" t="s">
        <v>56</v>
      </c>
      <c r="M38" t="s">
        <v>57</v>
      </c>
      <c r="N38" t="s">
        <v>24</v>
      </c>
    </row>
    <row r="39" spans="1:17" x14ac:dyDescent="0.25">
      <c r="A39" s="1">
        <v>44237</v>
      </c>
      <c r="B39" t="s">
        <v>162</v>
      </c>
      <c r="C39" t="s">
        <v>440</v>
      </c>
      <c r="D39" t="s">
        <v>305</v>
      </c>
      <c r="E39" t="s">
        <v>92</v>
      </c>
      <c r="F39" t="s">
        <v>44</v>
      </c>
      <c r="G39" t="s">
        <v>18</v>
      </c>
      <c r="H39">
        <v>1</v>
      </c>
      <c r="I39">
        <v>0</v>
      </c>
      <c r="J39" t="s">
        <v>438</v>
      </c>
      <c r="P39" s="1"/>
    </row>
    <row r="40" spans="1:17" x14ac:dyDescent="0.25">
      <c r="A40" s="1">
        <v>44241</v>
      </c>
      <c r="B40" t="s">
        <v>244</v>
      </c>
      <c r="C40" t="s">
        <v>412</v>
      </c>
      <c r="D40" t="s">
        <v>103</v>
      </c>
      <c r="E40" t="s">
        <v>62</v>
      </c>
      <c r="F40" t="s">
        <v>43</v>
      </c>
      <c r="G40" t="s">
        <v>4</v>
      </c>
      <c r="H40">
        <v>0</v>
      </c>
      <c r="I40">
        <v>0</v>
      </c>
      <c r="J40" t="s">
        <v>459</v>
      </c>
      <c r="K40">
        <v>0.8</v>
      </c>
      <c r="L40">
        <v>0.1</v>
      </c>
      <c r="M40">
        <v>68</v>
      </c>
      <c r="P40" s="1"/>
    </row>
    <row r="41" spans="1:17" x14ac:dyDescent="0.25">
      <c r="A41" s="1">
        <v>44245</v>
      </c>
      <c r="B41" t="s">
        <v>181</v>
      </c>
      <c r="C41" t="s">
        <v>193</v>
      </c>
      <c r="D41" t="s">
        <v>77</v>
      </c>
      <c r="E41" t="s">
        <v>85</v>
      </c>
      <c r="F41" t="s">
        <v>43</v>
      </c>
      <c r="G41" t="s">
        <v>19</v>
      </c>
      <c r="H41">
        <v>1</v>
      </c>
      <c r="I41">
        <v>2</v>
      </c>
      <c r="J41" t="s">
        <v>457</v>
      </c>
      <c r="K41">
        <v>0.5</v>
      </c>
      <c r="L41">
        <v>1.8</v>
      </c>
      <c r="M41">
        <v>36</v>
      </c>
      <c r="P41" s="1"/>
    </row>
    <row r="42" spans="1:17" x14ac:dyDescent="0.25">
      <c r="A42" s="1">
        <v>44248</v>
      </c>
      <c r="B42" t="s">
        <v>244</v>
      </c>
      <c r="C42" t="s">
        <v>412</v>
      </c>
      <c r="D42" t="s">
        <v>104</v>
      </c>
      <c r="E42" t="s">
        <v>62</v>
      </c>
      <c r="F42" t="s">
        <v>44</v>
      </c>
      <c r="G42" t="s">
        <v>18</v>
      </c>
      <c r="H42">
        <v>4</v>
      </c>
      <c r="I42">
        <v>1</v>
      </c>
      <c r="J42" t="s">
        <v>474</v>
      </c>
      <c r="K42">
        <v>1</v>
      </c>
      <c r="L42">
        <v>0.3</v>
      </c>
      <c r="M42">
        <v>56</v>
      </c>
      <c r="P42" s="1"/>
    </row>
    <row r="43" spans="1:17" x14ac:dyDescent="0.25">
      <c r="A43" s="1">
        <v>44252</v>
      </c>
      <c r="B43" t="s">
        <v>201</v>
      </c>
      <c r="C43" t="s">
        <v>193</v>
      </c>
      <c r="D43" t="s">
        <v>77</v>
      </c>
      <c r="E43" t="s">
        <v>85</v>
      </c>
      <c r="F43" t="s">
        <v>44</v>
      </c>
      <c r="G43" t="s">
        <v>19</v>
      </c>
      <c r="H43">
        <v>1</v>
      </c>
      <c r="I43">
        <v>2</v>
      </c>
      <c r="J43" t="s">
        <v>457</v>
      </c>
      <c r="K43">
        <v>1.7</v>
      </c>
      <c r="L43">
        <v>2.8</v>
      </c>
      <c r="M43">
        <v>53</v>
      </c>
      <c r="P43" s="1"/>
    </row>
    <row r="44" spans="1:17" x14ac:dyDescent="0.25">
      <c r="A44" s="1">
        <v>44255</v>
      </c>
      <c r="B44" t="s">
        <v>244</v>
      </c>
      <c r="C44" t="s">
        <v>412</v>
      </c>
      <c r="D44" t="s">
        <v>105</v>
      </c>
      <c r="E44" t="s">
        <v>62</v>
      </c>
      <c r="F44" t="s">
        <v>43</v>
      </c>
      <c r="G44" t="s">
        <v>4</v>
      </c>
      <c r="H44">
        <v>1</v>
      </c>
      <c r="I44">
        <v>1</v>
      </c>
      <c r="J44" t="s">
        <v>414</v>
      </c>
      <c r="K44">
        <v>1.1000000000000001</v>
      </c>
      <c r="L44">
        <v>0.9</v>
      </c>
      <c r="M44">
        <v>68</v>
      </c>
      <c r="P44" s="1"/>
      <c r="Q44" s="1"/>
    </row>
    <row r="45" spans="1:17" x14ac:dyDescent="0.25">
      <c r="A45" s="1">
        <v>44258</v>
      </c>
      <c r="B45" t="s">
        <v>181</v>
      </c>
      <c r="C45" t="s">
        <v>412</v>
      </c>
      <c r="D45" t="s">
        <v>106</v>
      </c>
      <c r="E45" t="s">
        <v>92</v>
      </c>
      <c r="F45" t="s">
        <v>43</v>
      </c>
      <c r="G45" t="s">
        <v>18</v>
      </c>
      <c r="H45">
        <v>2</v>
      </c>
      <c r="I45">
        <v>0</v>
      </c>
      <c r="J45" t="s">
        <v>427</v>
      </c>
      <c r="K45">
        <v>2.7</v>
      </c>
      <c r="L45">
        <v>0.1</v>
      </c>
      <c r="M45">
        <v>60</v>
      </c>
      <c r="P45" s="1"/>
      <c r="Q45" s="1"/>
    </row>
    <row r="46" spans="1:17" x14ac:dyDescent="0.25">
      <c r="A46" s="1">
        <v>44262</v>
      </c>
      <c r="B46" t="s">
        <v>157</v>
      </c>
      <c r="C46" t="s">
        <v>440</v>
      </c>
      <c r="D46" t="s">
        <v>77</v>
      </c>
      <c r="E46" t="s">
        <v>62</v>
      </c>
      <c r="F46" t="s">
        <v>44</v>
      </c>
      <c r="G46" t="s">
        <v>18</v>
      </c>
      <c r="H46">
        <v>3</v>
      </c>
      <c r="I46">
        <v>1</v>
      </c>
      <c r="J46" t="s">
        <v>475</v>
      </c>
      <c r="M46">
        <v>53</v>
      </c>
    </row>
    <row r="47" spans="1:17" x14ac:dyDescent="0.25">
      <c r="A47" s="1">
        <v>44269</v>
      </c>
      <c r="B47" t="s">
        <v>476</v>
      </c>
      <c r="C47" t="s">
        <v>412</v>
      </c>
      <c r="D47" t="s">
        <v>107</v>
      </c>
      <c r="E47" t="s">
        <v>62</v>
      </c>
      <c r="F47" t="s">
        <v>44</v>
      </c>
      <c r="G47" t="s">
        <v>4</v>
      </c>
      <c r="H47">
        <v>0</v>
      </c>
      <c r="I47">
        <v>0</v>
      </c>
      <c r="J47" t="s">
        <v>419</v>
      </c>
      <c r="K47">
        <v>0.2</v>
      </c>
      <c r="L47">
        <v>0.6</v>
      </c>
      <c r="M47">
        <v>37</v>
      </c>
      <c r="Q47" s="1"/>
    </row>
    <row r="48" spans="1:17" x14ac:dyDescent="0.25">
      <c r="A48" s="1">
        <v>44272</v>
      </c>
      <c r="B48" t="s">
        <v>330</v>
      </c>
      <c r="C48" t="s">
        <v>440</v>
      </c>
      <c r="D48" t="s">
        <v>91</v>
      </c>
      <c r="E48" t="s">
        <v>92</v>
      </c>
      <c r="F48" t="s">
        <v>44</v>
      </c>
      <c r="G48" t="s">
        <v>19</v>
      </c>
      <c r="H48">
        <v>0</v>
      </c>
      <c r="I48">
        <v>3</v>
      </c>
      <c r="J48" t="s">
        <v>434</v>
      </c>
      <c r="M48">
        <v>51</v>
      </c>
      <c r="P48" s="1"/>
    </row>
    <row r="49" spans="1:17" x14ac:dyDescent="0.25">
      <c r="A49" s="1">
        <v>44276</v>
      </c>
      <c r="B49" t="s">
        <v>476</v>
      </c>
      <c r="C49" t="s">
        <v>412</v>
      </c>
      <c r="D49" t="s">
        <v>108</v>
      </c>
      <c r="E49" t="s">
        <v>62</v>
      </c>
      <c r="F49" t="s">
        <v>43</v>
      </c>
      <c r="G49" t="s">
        <v>19</v>
      </c>
      <c r="H49">
        <v>1</v>
      </c>
      <c r="I49">
        <v>2</v>
      </c>
      <c r="J49" t="s">
        <v>448</v>
      </c>
      <c r="K49">
        <v>1</v>
      </c>
      <c r="L49">
        <v>0.9</v>
      </c>
      <c r="M49">
        <v>72</v>
      </c>
      <c r="P49" s="1"/>
    </row>
    <row r="50" spans="1:17" x14ac:dyDescent="0.25">
      <c r="A50" s="1">
        <v>44289</v>
      </c>
      <c r="B50" t="s">
        <v>244</v>
      </c>
      <c r="C50" t="s">
        <v>412</v>
      </c>
      <c r="D50" t="s">
        <v>109</v>
      </c>
      <c r="E50" t="s">
        <v>64</v>
      </c>
      <c r="F50" t="s">
        <v>44</v>
      </c>
      <c r="G50" t="s">
        <v>18</v>
      </c>
      <c r="H50">
        <v>1</v>
      </c>
      <c r="I50">
        <v>0</v>
      </c>
      <c r="J50" t="s">
        <v>434</v>
      </c>
      <c r="K50">
        <v>0.5</v>
      </c>
      <c r="L50">
        <v>1.1000000000000001</v>
      </c>
      <c r="M50">
        <v>35</v>
      </c>
      <c r="P50" s="1"/>
    </row>
    <row r="51" spans="1:17" x14ac:dyDescent="0.25">
      <c r="A51" s="1">
        <v>44295</v>
      </c>
      <c r="B51" t="s">
        <v>181</v>
      </c>
      <c r="C51" t="s">
        <v>412</v>
      </c>
      <c r="D51" t="s">
        <v>110</v>
      </c>
      <c r="E51" t="s">
        <v>60</v>
      </c>
      <c r="F51" t="s">
        <v>44</v>
      </c>
      <c r="G51" t="s">
        <v>18</v>
      </c>
      <c r="H51">
        <v>2</v>
      </c>
      <c r="I51">
        <v>0</v>
      </c>
      <c r="J51" t="s">
        <v>428</v>
      </c>
      <c r="K51">
        <v>0.6</v>
      </c>
      <c r="L51">
        <v>2.1</v>
      </c>
      <c r="M51">
        <v>50</v>
      </c>
      <c r="P51" s="1"/>
      <c r="Q51" s="1"/>
    </row>
    <row r="52" spans="1:17" x14ac:dyDescent="0.25">
      <c r="A52" s="1">
        <v>44302</v>
      </c>
      <c r="B52" t="s">
        <v>181</v>
      </c>
      <c r="C52" t="s">
        <v>412</v>
      </c>
      <c r="D52" t="s">
        <v>111</v>
      </c>
      <c r="E52" t="s">
        <v>60</v>
      </c>
      <c r="F52" t="s">
        <v>43</v>
      </c>
      <c r="G52" t="s">
        <v>4</v>
      </c>
      <c r="H52">
        <v>1</v>
      </c>
      <c r="I52">
        <v>1</v>
      </c>
      <c r="J52" t="s">
        <v>431</v>
      </c>
      <c r="K52">
        <v>1.3</v>
      </c>
      <c r="L52">
        <v>0.9</v>
      </c>
      <c r="M52">
        <v>63</v>
      </c>
      <c r="P52" s="1"/>
      <c r="Q52" s="1"/>
    </row>
    <row r="53" spans="1:17" x14ac:dyDescent="0.25">
      <c r="A53" s="1">
        <v>44311</v>
      </c>
      <c r="B53" t="s">
        <v>181</v>
      </c>
      <c r="C53" t="s">
        <v>412</v>
      </c>
      <c r="D53" t="s">
        <v>112</v>
      </c>
      <c r="E53" t="s">
        <v>62</v>
      </c>
      <c r="F53" t="s">
        <v>44</v>
      </c>
      <c r="G53" t="s">
        <v>18</v>
      </c>
      <c r="H53">
        <v>3</v>
      </c>
      <c r="I53">
        <v>2</v>
      </c>
      <c r="J53" t="s">
        <v>432</v>
      </c>
      <c r="K53">
        <v>1.9</v>
      </c>
      <c r="L53">
        <v>1</v>
      </c>
      <c r="M53">
        <v>54</v>
      </c>
      <c r="P53" s="1"/>
    </row>
    <row r="54" spans="1:17" x14ac:dyDescent="0.25">
      <c r="A54" s="1">
        <v>44317</v>
      </c>
      <c r="B54" t="s">
        <v>181</v>
      </c>
      <c r="C54" t="s">
        <v>412</v>
      </c>
      <c r="D54" t="s">
        <v>113</v>
      </c>
      <c r="E54" t="s">
        <v>64</v>
      </c>
      <c r="F54" t="s">
        <v>43</v>
      </c>
      <c r="G54" t="s">
        <v>18</v>
      </c>
      <c r="H54">
        <v>2</v>
      </c>
      <c r="I54">
        <v>0</v>
      </c>
      <c r="J54" t="s">
        <v>437</v>
      </c>
      <c r="K54">
        <v>0.8</v>
      </c>
      <c r="L54">
        <v>0</v>
      </c>
      <c r="M54">
        <v>55</v>
      </c>
      <c r="P54" s="1"/>
    </row>
    <row r="55" spans="1:17" x14ac:dyDescent="0.25">
      <c r="A55" s="1">
        <v>44323</v>
      </c>
      <c r="B55" t="s">
        <v>181</v>
      </c>
      <c r="C55" t="s">
        <v>412</v>
      </c>
      <c r="D55" t="s">
        <v>114</v>
      </c>
      <c r="E55" t="s">
        <v>60</v>
      </c>
      <c r="F55" t="s">
        <v>44</v>
      </c>
      <c r="G55" t="s">
        <v>18</v>
      </c>
      <c r="H55">
        <v>3</v>
      </c>
      <c r="I55">
        <v>0</v>
      </c>
      <c r="J55" t="s">
        <v>470</v>
      </c>
      <c r="K55">
        <v>1.3</v>
      </c>
      <c r="L55">
        <v>1.5</v>
      </c>
      <c r="M55">
        <v>51</v>
      </c>
      <c r="P55" s="1"/>
      <c r="Q55" s="1"/>
    </row>
    <row r="56" spans="1:17" x14ac:dyDescent="0.25">
      <c r="A56" s="1">
        <v>44332</v>
      </c>
      <c r="B56" t="s">
        <v>181</v>
      </c>
      <c r="C56" t="s">
        <v>412</v>
      </c>
      <c r="D56" t="s">
        <v>115</v>
      </c>
      <c r="E56" t="s">
        <v>62</v>
      </c>
      <c r="F56" t="s">
        <v>43</v>
      </c>
      <c r="G56" t="s">
        <v>4</v>
      </c>
      <c r="H56">
        <v>0</v>
      </c>
      <c r="I56">
        <v>0</v>
      </c>
      <c r="J56" t="s">
        <v>429</v>
      </c>
      <c r="K56">
        <v>1</v>
      </c>
      <c r="L56">
        <v>0.4</v>
      </c>
      <c r="M56">
        <v>59</v>
      </c>
      <c r="P56" s="1"/>
      <c r="Q56" s="1"/>
    </row>
    <row r="57" spans="1:17" x14ac:dyDescent="0.25">
      <c r="A57" s="1">
        <v>44339</v>
      </c>
      <c r="B57" t="s">
        <v>181</v>
      </c>
      <c r="C57" t="s">
        <v>412</v>
      </c>
      <c r="D57" t="s">
        <v>116</v>
      </c>
      <c r="E57" t="s">
        <v>62</v>
      </c>
      <c r="F57" t="s">
        <v>44</v>
      </c>
      <c r="G57" t="s">
        <v>18</v>
      </c>
      <c r="H57">
        <v>2</v>
      </c>
      <c r="I57">
        <v>1</v>
      </c>
      <c r="J57" t="s">
        <v>416</v>
      </c>
      <c r="K57">
        <v>1.6</v>
      </c>
      <c r="L57">
        <v>0.6</v>
      </c>
      <c r="M57">
        <v>43</v>
      </c>
      <c r="P57" s="1"/>
    </row>
    <row r="59" spans="1:17" x14ac:dyDescent="0.25">
      <c r="A59" t="s">
        <v>370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1AC3-2D3A-492A-9566-78596937E685}">
  <dimension ref="A1:Q59"/>
  <sheetViews>
    <sheetView workbookViewId="0">
      <selection activeCell="O1" sqref="O1:U1048576"/>
    </sheetView>
  </sheetViews>
  <sheetFormatPr defaultRowHeight="15" x14ac:dyDescent="0.25"/>
  <cols>
    <col min="1" max="1" width="12.28515625" customWidth="1"/>
  </cols>
  <sheetData>
    <row r="1" spans="1:17" x14ac:dyDescent="0.25">
      <c r="A1" t="s">
        <v>477</v>
      </c>
    </row>
    <row r="2" spans="1:17" x14ac:dyDescent="0.25">
      <c r="A2" t="s">
        <v>478</v>
      </c>
    </row>
    <row r="3" spans="1:17" x14ac:dyDescent="0.25">
      <c r="A3" t="s">
        <v>479</v>
      </c>
    </row>
    <row r="4" spans="1:17" x14ac:dyDescent="0.25">
      <c r="A4" t="s">
        <v>480</v>
      </c>
    </row>
    <row r="7" spans="1:17" x14ac:dyDescent="0.25">
      <c r="A7" t="s">
        <v>0</v>
      </c>
      <c r="B7" t="s">
        <v>1</v>
      </c>
      <c r="C7" t="s">
        <v>16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 t="s">
        <v>45</v>
      </c>
      <c r="K7" t="s">
        <v>55</v>
      </c>
      <c r="L7" t="s">
        <v>56</v>
      </c>
      <c r="M7" t="s">
        <v>57</v>
      </c>
      <c r="N7" t="s">
        <v>24</v>
      </c>
    </row>
    <row r="8" spans="1:17" x14ac:dyDescent="0.25">
      <c r="A8" s="1">
        <v>44409</v>
      </c>
      <c r="B8" t="s">
        <v>481</v>
      </c>
      <c r="C8" t="s">
        <v>482</v>
      </c>
      <c r="D8" t="s">
        <v>482</v>
      </c>
      <c r="E8" t="s">
        <v>62</v>
      </c>
      <c r="F8" t="s">
        <v>186</v>
      </c>
      <c r="G8" t="s">
        <v>18</v>
      </c>
      <c r="H8">
        <v>1</v>
      </c>
      <c r="I8">
        <v>0</v>
      </c>
      <c r="J8" t="s">
        <v>434</v>
      </c>
      <c r="M8">
        <v>29</v>
      </c>
      <c r="N8" s="2">
        <v>29000</v>
      </c>
      <c r="P8" s="1"/>
      <c r="Q8" s="1"/>
    </row>
    <row r="9" spans="1:17" x14ac:dyDescent="0.25">
      <c r="A9" s="1">
        <v>44416</v>
      </c>
      <c r="B9" t="s">
        <v>244</v>
      </c>
      <c r="C9" t="s">
        <v>412</v>
      </c>
      <c r="D9" t="s">
        <v>59</v>
      </c>
      <c r="E9" t="s">
        <v>62</v>
      </c>
      <c r="F9" t="s">
        <v>44</v>
      </c>
      <c r="G9" t="s">
        <v>4</v>
      </c>
      <c r="H9">
        <v>3</v>
      </c>
      <c r="I9">
        <v>3</v>
      </c>
      <c r="J9" t="s">
        <v>428</v>
      </c>
      <c r="K9">
        <v>1.3</v>
      </c>
      <c r="L9">
        <v>0.9</v>
      </c>
      <c r="M9">
        <v>61</v>
      </c>
      <c r="N9" s="2">
        <v>15551</v>
      </c>
      <c r="P9" s="1"/>
    </row>
    <row r="10" spans="1:17" x14ac:dyDescent="0.25">
      <c r="A10" s="1">
        <v>44422</v>
      </c>
      <c r="B10" t="s">
        <v>244</v>
      </c>
      <c r="C10" t="s">
        <v>412</v>
      </c>
      <c r="D10" t="s">
        <v>61</v>
      </c>
      <c r="E10" t="s">
        <v>64</v>
      </c>
      <c r="F10" t="s">
        <v>43</v>
      </c>
      <c r="G10" t="s">
        <v>19</v>
      </c>
      <c r="H10">
        <v>0</v>
      </c>
      <c r="I10">
        <v>4</v>
      </c>
      <c r="J10" t="s">
        <v>437</v>
      </c>
      <c r="K10">
        <v>0.8</v>
      </c>
      <c r="L10">
        <v>1.9</v>
      </c>
      <c r="M10">
        <v>62</v>
      </c>
      <c r="N10" s="2">
        <v>30144</v>
      </c>
      <c r="P10" s="1"/>
      <c r="Q10" s="1"/>
    </row>
    <row r="11" spans="1:17" x14ac:dyDescent="0.25">
      <c r="A11" s="1">
        <v>44429</v>
      </c>
      <c r="B11" t="s">
        <v>181</v>
      </c>
      <c r="C11" t="s">
        <v>412</v>
      </c>
      <c r="D11" t="s">
        <v>63</v>
      </c>
      <c r="E11" t="s">
        <v>64</v>
      </c>
      <c r="F11" t="s">
        <v>44</v>
      </c>
      <c r="G11" t="s">
        <v>4</v>
      </c>
      <c r="H11">
        <v>1</v>
      </c>
      <c r="I11">
        <v>1</v>
      </c>
      <c r="J11" t="s">
        <v>429</v>
      </c>
      <c r="K11">
        <v>1</v>
      </c>
      <c r="L11">
        <v>0.5</v>
      </c>
      <c r="M11">
        <v>52</v>
      </c>
      <c r="N11" s="2">
        <v>20673</v>
      </c>
      <c r="P11" s="1"/>
      <c r="Q11" s="1"/>
    </row>
    <row r="12" spans="1:17" x14ac:dyDescent="0.25">
      <c r="A12" s="1">
        <v>44437</v>
      </c>
      <c r="B12" t="s">
        <v>244</v>
      </c>
      <c r="C12" t="s">
        <v>412</v>
      </c>
      <c r="D12" t="s">
        <v>66</v>
      </c>
      <c r="E12" t="s">
        <v>62</v>
      </c>
      <c r="F12" t="s">
        <v>43</v>
      </c>
      <c r="G12" t="s">
        <v>18</v>
      </c>
      <c r="H12">
        <v>2</v>
      </c>
      <c r="I12">
        <v>1</v>
      </c>
      <c r="J12" t="s">
        <v>431</v>
      </c>
      <c r="K12">
        <v>1.6</v>
      </c>
      <c r="L12">
        <v>0.6</v>
      </c>
      <c r="M12">
        <v>45</v>
      </c>
      <c r="N12" s="2">
        <v>28859</v>
      </c>
      <c r="P12" s="1"/>
    </row>
    <row r="13" spans="1:17" x14ac:dyDescent="0.25">
      <c r="A13" s="1">
        <v>44449</v>
      </c>
      <c r="B13" t="s">
        <v>181</v>
      </c>
      <c r="C13" t="s">
        <v>412</v>
      </c>
      <c r="D13" t="s">
        <v>68</v>
      </c>
      <c r="E13" t="s">
        <v>60</v>
      </c>
      <c r="F13" t="s">
        <v>44</v>
      </c>
      <c r="G13" t="s">
        <v>19</v>
      </c>
      <c r="H13">
        <v>1</v>
      </c>
      <c r="I13">
        <v>2</v>
      </c>
      <c r="J13" t="s">
        <v>474</v>
      </c>
      <c r="K13">
        <v>1.3</v>
      </c>
      <c r="L13">
        <v>1.8</v>
      </c>
      <c r="M13">
        <v>56</v>
      </c>
      <c r="N13" s="2">
        <v>10271</v>
      </c>
      <c r="P13" s="1"/>
      <c r="Q13" s="1"/>
    </row>
    <row r="14" spans="1:17" x14ac:dyDescent="0.25">
      <c r="A14" s="1">
        <v>44453</v>
      </c>
      <c r="B14" t="s">
        <v>181</v>
      </c>
      <c r="C14" t="s">
        <v>118</v>
      </c>
      <c r="D14" t="s">
        <v>119</v>
      </c>
      <c r="E14" t="s">
        <v>69</v>
      </c>
      <c r="F14" t="s">
        <v>43</v>
      </c>
      <c r="G14" t="s">
        <v>4</v>
      </c>
      <c r="H14">
        <v>0</v>
      </c>
      <c r="I14">
        <v>0</v>
      </c>
      <c r="J14" t="s">
        <v>253</v>
      </c>
      <c r="K14">
        <v>1.6</v>
      </c>
      <c r="L14">
        <v>0.1</v>
      </c>
      <c r="M14">
        <v>54</v>
      </c>
      <c r="N14" s="2">
        <v>34314</v>
      </c>
      <c r="P14" s="1"/>
    </row>
    <row r="15" spans="1:17" x14ac:dyDescent="0.25">
      <c r="A15" s="1">
        <v>44457</v>
      </c>
      <c r="B15" t="s">
        <v>244</v>
      </c>
      <c r="C15" t="s">
        <v>412</v>
      </c>
      <c r="D15" t="s">
        <v>71</v>
      </c>
      <c r="E15" t="s">
        <v>64</v>
      </c>
      <c r="F15" t="s">
        <v>44</v>
      </c>
      <c r="G15" t="s">
        <v>19</v>
      </c>
      <c r="H15">
        <v>0</v>
      </c>
      <c r="I15">
        <v>1</v>
      </c>
      <c r="J15" t="s">
        <v>470</v>
      </c>
      <c r="K15">
        <v>0.7</v>
      </c>
      <c r="L15">
        <v>0.6</v>
      </c>
      <c r="M15">
        <v>54</v>
      </c>
      <c r="N15" s="2">
        <v>36512</v>
      </c>
      <c r="P15" s="1"/>
    </row>
    <row r="16" spans="1:17" x14ac:dyDescent="0.25">
      <c r="A16" s="1">
        <v>44461</v>
      </c>
      <c r="B16" t="s">
        <v>162</v>
      </c>
      <c r="C16" t="s">
        <v>412</v>
      </c>
      <c r="D16" t="s">
        <v>72</v>
      </c>
      <c r="E16" t="s">
        <v>92</v>
      </c>
      <c r="F16" t="s">
        <v>43</v>
      </c>
      <c r="G16" t="s">
        <v>18</v>
      </c>
      <c r="H16">
        <v>2</v>
      </c>
      <c r="I16">
        <v>1</v>
      </c>
      <c r="J16" t="s">
        <v>447</v>
      </c>
      <c r="K16">
        <v>0.7</v>
      </c>
      <c r="L16">
        <v>1.3</v>
      </c>
      <c r="M16">
        <v>53</v>
      </c>
      <c r="N16" s="2">
        <v>32604</v>
      </c>
      <c r="P16" s="1"/>
      <c r="Q16" s="1"/>
    </row>
    <row r="17" spans="1:17" x14ac:dyDescent="0.25">
      <c r="A17" s="1">
        <v>44464</v>
      </c>
      <c r="B17" t="s">
        <v>162</v>
      </c>
      <c r="C17" t="s">
        <v>412</v>
      </c>
      <c r="D17" t="s">
        <v>74</v>
      </c>
      <c r="E17" t="s">
        <v>64</v>
      </c>
      <c r="F17" t="s">
        <v>44</v>
      </c>
      <c r="G17" t="s">
        <v>18</v>
      </c>
      <c r="H17">
        <v>2</v>
      </c>
      <c r="I17">
        <v>1</v>
      </c>
      <c r="J17" t="s">
        <v>414</v>
      </c>
      <c r="K17">
        <v>2.2999999999999998</v>
      </c>
      <c r="L17">
        <v>0.4</v>
      </c>
      <c r="M17">
        <v>42</v>
      </c>
      <c r="N17" s="2">
        <v>23762</v>
      </c>
      <c r="P17" s="1"/>
      <c r="Q17" s="1"/>
    </row>
    <row r="18" spans="1:17" x14ac:dyDescent="0.25">
      <c r="A18" s="1">
        <v>44468</v>
      </c>
      <c r="B18" t="s">
        <v>181</v>
      </c>
      <c r="C18" t="s">
        <v>118</v>
      </c>
      <c r="D18" t="s">
        <v>119</v>
      </c>
      <c r="E18" t="s">
        <v>92</v>
      </c>
      <c r="F18" t="s">
        <v>44</v>
      </c>
      <c r="G18" t="s">
        <v>19</v>
      </c>
      <c r="H18">
        <v>1</v>
      </c>
      <c r="I18">
        <v>2</v>
      </c>
      <c r="J18" t="s">
        <v>252</v>
      </c>
      <c r="K18">
        <v>0.5</v>
      </c>
      <c r="L18">
        <v>2.1</v>
      </c>
      <c r="M18">
        <v>54</v>
      </c>
      <c r="N18" s="2">
        <v>24207</v>
      </c>
      <c r="P18" s="1"/>
    </row>
    <row r="19" spans="1:17" x14ac:dyDescent="0.25">
      <c r="A19" s="1">
        <v>44472</v>
      </c>
      <c r="B19" t="s">
        <v>244</v>
      </c>
      <c r="C19" t="s">
        <v>412</v>
      </c>
      <c r="D19" t="s">
        <v>75</v>
      </c>
      <c r="E19" t="s">
        <v>62</v>
      </c>
      <c r="F19" t="s">
        <v>43</v>
      </c>
      <c r="G19" t="s">
        <v>18</v>
      </c>
      <c r="H19">
        <v>2</v>
      </c>
      <c r="I19">
        <v>0</v>
      </c>
      <c r="J19" t="s">
        <v>427</v>
      </c>
      <c r="K19">
        <v>3</v>
      </c>
      <c r="L19">
        <v>0.4</v>
      </c>
      <c r="M19">
        <v>37</v>
      </c>
      <c r="N19" s="2">
        <v>44839</v>
      </c>
      <c r="P19" s="1"/>
    </row>
    <row r="20" spans="1:17" x14ac:dyDescent="0.25">
      <c r="A20" s="1">
        <v>44485</v>
      </c>
      <c r="B20" t="s">
        <v>244</v>
      </c>
      <c r="C20" t="s">
        <v>412</v>
      </c>
      <c r="D20" t="s">
        <v>79</v>
      </c>
      <c r="E20" t="s">
        <v>64</v>
      </c>
      <c r="F20" t="s">
        <v>44</v>
      </c>
      <c r="G20" t="s">
        <v>19</v>
      </c>
      <c r="H20">
        <v>0</v>
      </c>
      <c r="I20">
        <v>1</v>
      </c>
      <c r="J20" t="s">
        <v>483</v>
      </c>
      <c r="K20">
        <v>0.9</v>
      </c>
      <c r="L20">
        <v>0.3</v>
      </c>
      <c r="M20">
        <v>57</v>
      </c>
      <c r="N20" s="2">
        <v>11537</v>
      </c>
    </row>
    <row r="21" spans="1:17" x14ac:dyDescent="0.25">
      <c r="A21" s="1">
        <v>44489</v>
      </c>
      <c r="B21" t="s">
        <v>181</v>
      </c>
      <c r="C21" t="s">
        <v>118</v>
      </c>
      <c r="D21" t="s">
        <v>119</v>
      </c>
      <c r="E21" t="s">
        <v>92</v>
      </c>
      <c r="F21" t="s">
        <v>43</v>
      </c>
      <c r="G21" t="s">
        <v>4</v>
      </c>
      <c r="H21">
        <v>0</v>
      </c>
      <c r="I21">
        <v>0</v>
      </c>
      <c r="J21" t="s">
        <v>484</v>
      </c>
      <c r="K21">
        <v>0.8</v>
      </c>
      <c r="L21">
        <v>1.1000000000000001</v>
      </c>
      <c r="M21">
        <v>39</v>
      </c>
      <c r="N21" s="2">
        <v>34362</v>
      </c>
      <c r="P21" s="1"/>
    </row>
    <row r="22" spans="1:17" x14ac:dyDescent="0.25">
      <c r="A22" s="1">
        <v>44492</v>
      </c>
      <c r="B22" t="s">
        <v>181</v>
      </c>
      <c r="C22" t="s">
        <v>412</v>
      </c>
      <c r="D22" t="s">
        <v>81</v>
      </c>
      <c r="E22" t="s">
        <v>64</v>
      </c>
      <c r="F22" t="s">
        <v>43</v>
      </c>
      <c r="G22" t="s">
        <v>4</v>
      </c>
      <c r="H22">
        <v>1</v>
      </c>
      <c r="I22">
        <v>1</v>
      </c>
      <c r="J22" t="s">
        <v>459</v>
      </c>
      <c r="K22">
        <v>1.7</v>
      </c>
      <c r="L22">
        <v>1.2</v>
      </c>
      <c r="M22">
        <v>64</v>
      </c>
      <c r="N22" s="2">
        <v>32613</v>
      </c>
    </row>
    <row r="23" spans="1:17" x14ac:dyDescent="0.25">
      <c r="A23" s="1">
        <v>44498</v>
      </c>
      <c r="B23" t="s">
        <v>181</v>
      </c>
      <c r="C23" t="s">
        <v>412</v>
      </c>
      <c r="D23" t="s">
        <v>83</v>
      </c>
      <c r="E23" t="s">
        <v>60</v>
      </c>
      <c r="F23" t="s">
        <v>44</v>
      </c>
      <c r="G23" t="s">
        <v>19</v>
      </c>
      <c r="H23">
        <v>1</v>
      </c>
      <c r="I23">
        <v>2</v>
      </c>
      <c r="J23" t="s">
        <v>434</v>
      </c>
      <c r="K23">
        <v>1.8</v>
      </c>
      <c r="L23">
        <v>2.1</v>
      </c>
      <c r="M23">
        <v>41</v>
      </c>
      <c r="N23" s="2">
        <v>47874</v>
      </c>
      <c r="P23" s="1"/>
      <c r="Q23" s="1"/>
    </row>
    <row r="24" spans="1:17" x14ac:dyDescent="0.25">
      <c r="A24" s="1">
        <v>44502</v>
      </c>
      <c r="B24" t="s">
        <v>198</v>
      </c>
      <c r="C24" t="s">
        <v>118</v>
      </c>
      <c r="D24" t="s">
        <v>119</v>
      </c>
      <c r="E24" t="s">
        <v>69</v>
      </c>
      <c r="F24" t="s">
        <v>44</v>
      </c>
      <c r="G24" t="s">
        <v>18</v>
      </c>
      <c r="H24">
        <v>2</v>
      </c>
      <c r="I24">
        <v>1</v>
      </c>
      <c r="J24" t="s">
        <v>484</v>
      </c>
      <c r="K24">
        <v>1.9</v>
      </c>
      <c r="L24">
        <v>1</v>
      </c>
      <c r="M24">
        <v>42</v>
      </c>
      <c r="N24" s="2">
        <v>29369</v>
      </c>
      <c r="P24" s="1"/>
    </row>
    <row r="25" spans="1:17" x14ac:dyDescent="0.25">
      <c r="A25" s="1">
        <v>44506</v>
      </c>
      <c r="B25" t="s">
        <v>472</v>
      </c>
      <c r="C25" t="s">
        <v>412</v>
      </c>
      <c r="D25" t="s">
        <v>84</v>
      </c>
      <c r="E25" t="s">
        <v>64</v>
      </c>
      <c r="F25" t="s">
        <v>43</v>
      </c>
      <c r="G25" t="s">
        <v>4</v>
      </c>
      <c r="H25">
        <v>1</v>
      </c>
      <c r="I25">
        <v>1</v>
      </c>
      <c r="J25" t="s">
        <v>416</v>
      </c>
      <c r="K25">
        <v>1.4</v>
      </c>
      <c r="L25">
        <v>1.1000000000000001</v>
      </c>
      <c r="M25">
        <v>47</v>
      </c>
      <c r="N25" s="2">
        <v>33305</v>
      </c>
      <c r="P25" s="1"/>
    </row>
    <row r="26" spans="1:17" x14ac:dyDescent="0.25">
      <c r="A26" s="1">
        <v>44519</v>
      </c>
      <c r="B26" t="s">
        <v>181</v>
      </c>
      <c r="C26" t="s">
        <v>412</v>
      </c>
      <c r="D26" t="s">
        <v>86</v>
      </c>
      <c r="E26" t="s">
        <v>60</v>
      </c>
      <c r="F26" t="s">
        <v>44</v>
      </c>
      <c r="G26" t="s">
        <v>4</v>
      </c>
      <c r="H26">
        <v>2</v>
      </c>
      <c r="I26">
        <v>2</v>
      </c>
      <c r="J26" t="s">
        <v>419</v>
      </c>
      <c r="K26">
        <v>2.2000000000000002</v>
      </c>
      <c r="L26">
        <v>1.1000000000000001</v>
      </c>
      <c r="M26">
        <v>46</v>
      </c>
      <c r="N26" s="2">
        <v>3778</v>
      </c>
      <c r="P26" s="1"/>
      <c r="Q26" s="1"/>
    </row>
    <row r="27" spans="1:17" x14ac:dyDescent="0.25">
      <c r="A27" s="1">
        <v>44523</v>
      </c>
      <c r="B27" t="s">
        <v>181</v>
      </c>
      <c r="C27" t="s">
        <v>118</v>
      </c>
      <c r="D27" t="s">
        <v>119</v>
      </c>
      <c r="E27" t="s">
        <v>69</v>
      </c>
      <c r="F27" t="s">
        <v>43</v>
      </c>
      <c r="G27" t="s">
        <v>18</v>
      </c>
      <c r="H27">
        <v>1</v>
      </c>
      <c r="I27">
        <v>0</v>
      </c>
      <c r="J27" t="s">
        <v>252</v>
      </c>
      <c r="K27">
        <v>0.7</v>
      </c>
      <c r="L27">
        <v>0.5</v>
      </c>
      <c r="M27">
        <v>47</v>
      </c>
      <c r="N27" s="2">
        <v>33573</v>
      </c>
      <c r="P27" s="1"/>
    </row>
    <row r="28" spans="1:17" x14ac:dyDescent="0.25">
      <c r="A28" s="1">
        <v>44527</v>
      </c>
      <c r="B28" t="s">
        <v>244</v>
      </c>
      <c r="C28" t="s">
        <v>412</v>
      </c>
      <c r="D28" t="s">
        <v>87</v>
      </c>
      <c r="E28" t="s">
        <v>64</v>
      </c>
      <c r="F28" t="s">
        <v>43</v>
      </c>
      <c r="G28" t="s">
        <v>4</v>
      </c>
      <c r="H28">
        <v>1</v>
      </c>
      <c r="I28">
        <v>1</v>
      </c>
      <c r="J28" t="s">
        <v>413</v>
      </c>
      <c r="K28">
        <v>1.2</v>
      </c>
      <c r="L28">
        <v>0.5</v>
      </c>
      <c r="M28">
        <v>59</v>
      </c>
      <c r="N28" s="2">
        <v>30419</v>
      </c>
      <c r="P28" s="1"/>
      <c r="Q28" s="1"/>
    </row>
    <row r="29" spans="1:17" x14ac:dyDescent="0.25">
      <c r="A29" s="1">
        <v>44531</v>
      </c>
      <c r="B29" t="s">
        <v>181</v>
      </c>
      <c r="C29" t="s">
        <v>412</v>
      </c>
      <c r="D29" t="s">
        <v>88</v>
      </c>
      <c r="E29" t="s">
        <v>92</v>
      </c>
      <c r="F29" t="s">
        <v>44</v>
      </c>
      <c r="G29" t="s">
        <v>18</v>
      </c>
      <c r="H29">
        <v>2</v>
      </c>
      <c r="I29">
        <v>1</v>
      </c>
      <c r="J29" t="s">
        <v>421</v>
      </c>
      <c r="K29">
        <v>0.7</v>
      </c>
      <c r="L29">
        <v>0.8</v>
      </c>
      <c r="M29">
        <v>36</v>
      </c>
      <c r="N29" s="2">
        <v>25392</v>
      </c>
      <c r="P29" s="1"/>
      <c r="Q29" s="1"/>
    </row>
    <row r="30" spans="1:17" x14ac:dyDescent="0.25">
      <c r="A30" s="1">
        <v>44534</v>
      </c>
      <c r="B30" t="s">
        <v>162</v>
      </c>
      <c r="C30" t="s">
        <v>412</v>
      </c>
      <c r="D30" t="s">
        <v>90</v>
      </c>
      <c r="E30" t="s">
        <v>64</v>
      </c>
      <c r="F30" t="s">
        <v>43</v>
      </c>
      <c r="G30" t="s">
        <v>18</v>
      </c>
      <c r="H30">
        <v>2</v>
      </c>
      <c r="I30">
        <v>1</v>
      </c>
      <c r="J30" t="s">
        <v>420</v>
      </c>
      <c r="K30">
        <v>1.4</v>
      </c>
      <c r="L30">
        <v>0.3</v>
      </c>
      <c r="M30">
        <v>45</v>
      </c>
      <c r="N30" s="2">
        <v>28286</v>
      </c>
      <c r="P30" s="1"/>
    </row>
    <row r="31" spans="1:17" x14ac:dyDescent="0.25">
      <c r="A31" s="1">
        <v>44538</v>
      </c>
      <c r="B31" t="s">
        <v>181</v>
      </c>
      <c r="C31" t="s">
        <v>118</v>
      </c>
      <c r="D31" t="s">
        <v>119</v>
      </c>
      <c r="E31" t="s">
        <v>92</v>
      </c>
      <c r="F31" t="s">
        <v>44</v>
      </c>
      <c r="G31" t="s">
        <v>18</v>
      </c>
      <c r="H31">
        <v>3</v>
      </c>
      <c r="I31">
        <v>1</v>
      </c>
      <c r="J31" t="s">
        <v>253</v>
      </c>
      <c r="K31">
        <v>2.5</v>
      </c>
      <c r="L31">
        <v>0.7</v>
      </c>
      <c r="M31">
        <v>44</v>
      </c>
      <c r="N31" s="2">
        <v>6544</v>
      </c>
      <c r="P31" s="1"/>
    </row>
    <row r="32" spans="1:17" x14ac:dyDescent="0.25">
      <c r="A32" s="1">
        <v>44542</v>
      </c>
      <c r="B32" t="s">
        <v>154</v>
      </c>
      <c r="C32" t="s">
        <v>412</v>
      </c>
      <c r="D32" t="s">
        <v>93</v>
      </c>
      <c r="E32" t="s">
        <v>62</v>
      </c>
      <c r="F32" t="s">
        <v>43</v>
      </c>
      <c r="G32" t="s">
        <v>4</v>
      </c>
      <c r="H32">
        <v>0</v>
      </c>
      <c r="I32">
        <v>0</v>
      </c>
      <c r="J32" t="s">
        <v>432</v>
      </c>
      <c r="K32">
        <v>1.5</v>
      </c>
      <c r="L32">
        <v>0.4</v>
      </c>
      <c r="M32">
        <v>50</v>
      </c>
      <c r="N32" s="2">
        <v>40248</v>
      </c>
      <c r="P32" s="1"/>
    </row>
    <row r="33" spans="1:17" x14ac:dyDescent="0.25">
      <c r="A33" s="1">
        <v>44548</v>
      </c>
      <c r="B33" t="s">
        <v>157</v>
      </c>
      <c r="C33" t="s">
        <v>440</v>
      </c>
      <c r="D33" t="s">
        <v>305</v>
      </c>
      <c r="E33" t="s">
        <v>64</v>
      </c>
      <c r="F33" t="s">
        <v>43</v>
      </c>
      <c r="G33" t="s">
        <v>18</v>
      </c>
      <c r="H33">
        <v>3</v>
      </c>
      <c r="I33">
        <v>1</v>
      </c>
      <c r="J33" t="s">
        <v>485</v>
      </c>
      <c r="M33">
        <v>48</v>
      </c>
      <c r="N33" s="2">
        <v>12093</v>
      </c>
      <c r="P33" s="1"/>
    </row>
    <row r="34" spans="1:17" x14ac:dyDescent="0.25">
      <c r="A34" s="1">
        <v>44552</v>
      </c>
      <c r="B34" t="s">
        <v>181</v>
      </c>
      <c r="C34" t="s">
        <v>412</v>
      </c>
      <c r="D34" t="s">
        <v>94</v>
      </c>
      <c r="E34" t="s">
        <v>92</v>
      </c>
      <c r="F34" t="s">
        <v>44</v>
      </c>
      <c r="G34" t="s">
        <v>18</v>
      </c>
      <c r="H34">
        <v>3</v>
      </c>
      <c r="I34">
        <v>2</v>
      </c>
      <c r="J34" t="s">
        <v>417</v>
      </c>
      <c r="K34">
        <v>1.3</v>
      </c>
      <c r="L34">
        <v>1.2</v>
      </c>
      <c r="M34">
        <v>58</v>
      </c>
      <c r="N34" s="2">
        <v>39967</v>
      </c>
      <c r="P34" s="1"/>
    </row>
    <row r="35" spans="1:17" x14ac:dyDescent="0.25">
      <c r="A35" s="1">
        <v>44565</v>
      </c>
      <c r="B35" t="s">
        <v>181</v>
      </c>
      <c r="C35" t="s">
        <v>440</v>
      </c>
      <c r="D35" t="s">
        <v>77</v>
      </c>
      <c r="E35" t="s">
        <v>69</v>
      </c>
      <c r="F35" t="s">
        <v>44</v>
      </c>
      <c r="G35" t="s">
        <v>4</v>
      </c>
      <c r="H35" t="s">
        <v>464</v>
      </c>
      <c r="I35" t="s">
        <v>425</v>
      </c>
      <c r="J35" t="s">
        <v>470</v>
      </c>
      <c r="M35">
        <v>42</v>
      </c>
      <c r="N35" s="2">
        <v>4515</v>
      </c>
      <c r="P35" s="1"/>
    </row>
    <row r="36" spans="1:17" x14ac:dyDescent="0.25">
      <c r="A36" s="1">
        <v>44577</v>
      </c>
      <c r="B36" t="s">
        <v>156</v>
      </c>
      <c r="C36" t="s">
        <v>412</v>
      </c>
      <c r="D36" t="s">
        <v>98</v>
      </c>
      <c r="E36" t="s">
        <v>62</v>
      </c>
      <c r="F36" t="s">
        <v>44</v>
      </c>
      <c r="G36" t="s">
        <v>4</v>
      </c>
      <c r="H36">
        <v>1</v>
      </c>
      <c r="I36">
        <v>1</v>
      </c>
      <c r="J36" t="s">
        <v>427</v>
      </c>
      <c r="K36">
        <v>0.7</v>
      </c>
      <c r="L36">
        <v>1.7</v>
      </c>
      <c r="M36">
        <v>23</v>
      </c>
      <c r="N36" s="2">
        <v>5034</v>
      </c>
      <c r="P36" s="1"/>
      <c r="Q36" s="1"/>
    </row>
    <row r="37" spans="1:17" x14ac:dyDescent="0.25">
      <c r="A37" s="1">
        <v>44580</v>
      </c>
      <c r="B37" t="s">
        <v>162</v>
      </c>
      <c r="C37" t="s">
        <v>412</v>
      </c>
      <c r="D37" t="s">
        <v>97</v>
      </c>
      <c r="E37" t="s">
        <v>92</v>
      </c>
      <c r="F37" t="s">
        <v>43</v>
      </c>
      <c r="G37" t="s">
        <v>18</v>
      </c>
      <c r="H37">
        <v>3</v>
      </c>
      <c r="I37">
        <v>1</v>
      </c>
      <c r="J37" t="s">
        <v>474</v>
      </c>
      <c r="K37">
        <v>1.7</v>
      </c>
      <c r="L37">
        <v>1.1000000000000001</v>
      </c>
      <c r="M37">
        <v>55</v>
      </c>
      <c r="N37" s="2">
        <v>4834</v>
      </c>
      <c r="P37" s="1"/>
      <c r="Q37" s="1"/>
    </row>
    <row r="38" spans="1:17" x14ac:dyDescent="0.25">
      <c r="A38" t="s">
        <v>0</v>
      </c>
      <c r="B38" t="s">
        <v>1</v>
      </c>
      <c r="C38" t="s">
        <v>16</v>
      </c>
      <c r="D38" t="s">
        <v>51</v>
      </c>
      <c r="E38" t="s">
        <v>52</v>
      </c>
      <c r="F38" t="s">
        <v>53</v>
      </c>
      <c r="G38" t="s">
        <v>54</v>
      </c>
      <c r="H38" t="s">
        <v>20</v>
      </c>
      <c r="I38" t="s">
        <v>21</v>
      </c>
      <c r="J38" t="s">
        <v>45</v>
      </c>
      <c r="K38" t="s">
        <v>55</v>
      </c>
      <c r="L38" t="s">
        <v>56</v>
      </c>
      <c r="M38" t="s">
        <v>57</v>
      </c>
      <c r="N38" t="s">
        <v>24</v>
      </c>
    </row>
    <row r="39" spans="1:17" x14ac:dyDescent="0.25">
      <c r="A39" s="1">
        <v>44583</v>
      </c>
      <c r="B39" t="s">
        <v>244</v>
      </c>
      <c r="C39" t="s">
        <v>412</v>
      </c>
      <c r="D39" t="s">
        <v>100</v>
      </c>
      <c r="E39" t="s">
        <v>64</v>
      </c>
      <c r="F39" t="s">
        <v>44</v>
      </c>
      <c r="G39" t="s">
        <v>19</v>
      </c>
      <c r="H39">
        <v>0</v>
      </c>
      <c r="I39">
        <v>2</v>
      </c>
      <c r="J39" t="s">
        <v>459</v>
      </c>
      <c r="K39">
        <v>1.2</v>
      </c>
      <c r="L39">
        <v>1.2</v>
      </c>
      <c r="M39">
        <v>62</v>
      </c>
      <c r="N39" s="2">
        <v>4358</v>
      </c>
      <c r="P39" s="1"/>
      <c r="Q39" s="1"/>
    </row>
    <row r="40" spans="1:17" x14ac:dyDescent="0.25">
      <c r="A40" s="1">
        <v>44598</v>
      </c>
      <c r="B40" t="s">
        <v>156</v>
      </c>
      <c r="C40" t="s">
        <v>412</v>
      </c>
      <c r="D40" t="s">
        <v>101</v>
      </c>
      <c r="E40" t="s">
        <v>62</v>
      </c>
      <c r="F40" t="s">
        <v>43</v>
      </c>
      <c r="G40" t="s">
        <v>19</v>
      </c>
      <c r="H40">
        <v>1</v>
      </c>
      <c r="I40">
        <v>5</v>
      </c>
      <c r="J40" t="s">
        <v>434</v>
      </c>
      <c r="K40">
        <v>1</v>
      </c>
      <c r="L40">
        <v>3.9</v>
      </c>
      <c r="M40">
        <v>41</v>
      </c>
      <c r="N40" s="2">
        <v>48437</v>
      </c>
      <c r="P40" s="1"/>
      <c r="Q40" s="1"/>
    </row>
    <row r="41" spans="1:17" x14ac:dyDescent="0.25">
      <c r="A41" s="1">
        <v>44604</v>
      </c>
      <c r="B41" t="s">
        <v>244</v>
      </c>
      <c r="C41" t="s">
        <v>412</v>
      </c>
      <c r="D41" t="s">
        <v>102</v>
      </c>
      <c r="E41" t="s">
        <v>64</v>
      </c>
      <c r="F41" t="s">
        <v>44</v>
      </c>
      <c r="G41" t="s">
        <v>18</v>
      </c>
      <c r="H41">
        <v>1</v>
      </c>
      <c r="I41">
        <v>0</v>
      </c>
      <c r="J41" t="s">
        <v>431</v>
      </c>
      <c r="K41">
        <v>1.3</v>
      </c>
      <c r="L41">
        <v>1</v>
      </c>
      <c r="M41">
        <v>44</v>
      </c>
      <c r="N41" s="2">
        <v>11784</v>
      </c>
      <c r="P41" s="1"/>
    </row>
    <row r="42" spans="1:17" x14ac:dyDescent="0.25">
      <c r="A42" s="1">
        <v>44610</v>
      </c>
      <c r="B42" t="s">
        <v>181</v>
      </c>
      <c r="C42" t="s">
        <v>412</v>
      </c>
      <c r="D42" t="s">
        <v>103</v>
      </c>
      <c r="E42" t="s">
        <v>60</v>
      </c>
      <c r="F42" t="s">
        <v>43</v>
      </c>
      <c r="G42" t="s">
        <v>4</v>
      </c>
      <c r="H42">
        <v>0</v>
      </c>
      <c r="I42">
        <v>0</v>
      </c>
      <c r="J42" t="s">
        <v>428</v>
      </c>
      <c r="K42">
        <v>1.1000000000000001</v>
      </c>
      <c r="L42">
        <v>0.4</v>
      </c>
      <c r="M42">
        <v>63</v>
      </c>
      <c r="N42" s="2">
        <v>30384</v>
      </c>
      <c r="P42" s="1"/>
      <c r="Q42" s="1"/>
    </row>
    <row r="43" spans="1:17" x14ac:dyDescent="0.25">
      <c r="A43" s="1">
        <v>44614</v>
      </c>
      <c r="B43" t="s">
        <v>161</v>
      </c>
      <c r="C43" t="s">
        <v>118</v>
      </c>
      <c r="D43" t="s">
        <v>91</v>
      </c>
      <c r="E43" t="s">
        <v>69</v>
      </c>
      <c r="F43" t="s">
        <v>44</v>
      </c>
      <c r="G43" t="s">
        <v>19</v>
      </c>
      <c r="H43">
        <v>0</v>
      </c>
      <c r="I43">
        <v>2</v>
      </c>
      <c r="J43" t="s">
        <v>240</v>
      </c>
      <c r="K43">
        <v>0.8</v>
      </c>
      <c r="L43">
        <v>1.2</v>
      </c>
      <c r="M43">
        <v>50</v>
      </c>
      <c r="N43" s="2">
        <v>38832</v>
      </c>
      <c r="Q43" s="1"/>
    </row>
    <row r="44" spans="1:17" x14ac:dyDescent="0.25">
      <c r="A44" s="1">
        <v>44619</v>
      </c>
      <c r="B44" t="s">
        <v>156</v>
      </c>
      <c r="C44" t="s">
        <v>412</v>
      </c>
      <c r="D44" t="s">
        <v>104</v>
      </c>
      <c r="E44" t="s">
        <v>62</v>
      </c>
      <c r="F44" t="s">
        <v>44</v>
      </c>
      <c r="G44" t="s">
        <v>18</v>
      </c>
      <c r="H44">
        <v>1</v>
      </c>
      <c r="I44">
        <v>0</v>
      </c>
      <c r="J44" t="s">
        <v>432</v>
      </c>
      <c r="K44">
        <v>0.7</v>
      </c>
      <c r="L44">
        <v>1.4</v>
      </c>
      <c r="M44">
        <v>36</v>
      </c>
      <c r="N44" s="2">
        <v>42647</v>
      </c>
    </row>
    <row r="45" spans="1:17" x14ac:dyDescent="0.25">
      <c r="A45" s="1">
        <v>44626</v>
      </c>
      <c r="B45" t="s">
        <v>486</v>
      </c>
      <c r="C45" t="s">
        <v>412</v>
      </c>
      <c r="D45" t="s">
        <v>105</v>
      </c>
      <c r="E45" t="s">
        <v>62</v>
      </c>
      <c r="F45" t="s">
        <v>43</v>
      </c>
      <c r="G45" t="s">
        <v>18</v>
      </c>
      <c r="H45">
        <v>4</v>
      </c>
      <c r="I45">
        <v>0</v>
      </c>
      <c r="J45" t="s">
        <v>483</v>
      </c>
      <c r="K45">
        <v>2</v>
      </c>
      <c r="L45">
        <v>0.9</v>
      </c>
      <c r="M45">
        <v>49</v>
      </c>
      <c r="N45" s="2">
        <v>33515</v>
      </c>
    </row>
    <row r="46" spans="1:17" x14ac:dyDescent="0.25">
      <c r="A46" s="1">
        <v>44631</v>
      </c>
      <c r="B46" t="s">
        <v>181</v>
      </c>
      <c r="C46" t="s">
        <v>412</v>
      </c>
      <c r="D46" t="s">
        <v>106</v>
      </c>
      <c r="E46" t="s">
        <v>60</v>
      </c>
      <c r="F46" t="s">
        <v>43</v>
      </c>
      <c r="G46" t="s">
        <v>4</v>
      </c>
      <c r="H46">
        <v>0</v>
      </c>
      <c r="I46">
        <v>0</v>
      </c>
      <c r="J46" t="s">
        <v>429</v>
      </c>
      <c r="K46">
        <v>1</v>
      </c>
      <c r="L46">
        <v>0.4</v>
      </c>
      <c r="M46">
        <v>51</v>
      </c>
      <c r="N46" s="2">
        <v>40146</v>
      </c>
    </row>
    <row r="47" spans="1:17" x14ac:dyDescent="0.25">
      <c r="A47" s="1">
        <v>44636</v>
      </c>
      <c r="B47" t="s">
        <v>198</v>
      </c>
      <c r="C47" t="s">
        <v>118</v>
      </c>
      <c r="D47" t="s">
        <v>91</v>
      </c>
      <c r="E47" t="s">
        <v>92</v>
      </c>
      <c r="F47" t="s">
        <v>43</v>
      </c>
      <c r="G47" t="s">
        <v>19</v>
      </c>
      <c r="H47">
        <v>1</v>
      </c>
      <c r="I47">
        <v>2</v>
      </c>
      <c r="J47" t="s">
        <v>240</v>
      </c>
      <c r="K47">
        <v>1.7</v>
      </c>
      <c r="L47">
        <v>1</v>
      </c>
      <c r="M47">
        <v>44</v>
      </c>
      <c r="N47" s="2">
        <v>49048</v>
      </c>
      <c r="P47" s="1"/>
      <c r="Q47" s="1"/>
    </row>
    <row r="48" spans="1:17" x14ac:dyDescent="0.25">
      <c r="A48" s="1">
        <v>44639</v>
      </c>
      <c r="B48" t="s">
        <v>198</v>
      </c>
      <c r="C48" t="s">
        <v>412</v>
      </c>
      <c r="D48" t="s">
        <v>107</v>
      </c>
      <c r="E48" t="s">
        <v>64</v>
      </c>
      <c r="F48" t="s">
        <v>44</v>
      </c>
      <c r="G48" t="s">
        <v>18</v>
      </c>
      <c r="H48">
        <v>1</v>
      </c>
      <c r="I48">
        <v>0</v>
      </c>
      <c r="J48" t="s">
        <v>413</v>
      </c>
      <c r="K48">
        <v>1.1000000000000001</v>
      </c>
      <c r="L48">
        <v>0.8</v>
      </c>
      <c r="M48">
        <v>47</v>
      </c>
      <c r="N48" s="2">
        <v>25977</v>
      </c>
      <c r="Q48" s="1"/>
    </row>
    <row r="49" spans="1:17" x14ac:dyDescent="0.25">
      <c r="A49" s="1">
        <v>44653</v>
      </c>
      <c r="B49" t="s">
        <v>162</v>
      </c>
      <c r="C49" t="s">
        <v>412</v>
      </c>
      <c r="D49" t="s">
        <v>108</v>
      </c>
      <c r="E49" t="s">
        <v>64</v>
      </c>
      <c r="F49" t="s">
        <v>43</v>
      </c>
      <c r="G49" t="s">
        <v>4</v>
      </c>
      <c r="H49">
        <v>0</v>
      </c>
      <c r="I49">
        <v>0</v>
      </c>
      <c r="J49" t="s">
        <v>417</v>
      </c>
      <c r="K49">
        <v>2.7</v>
      </c>
      <c r="L49">
        <v>0</v>
      </c>
      <c r="M49">
        <v>65</v>
      </c>
      <c r="N49" s="2">
        <v>36351</v>
      </c>
      <c r="Q49" s="1"/>
    </row>
    <row r="50" spans="1:17" x14ac:dyDescent="0.25">
      <c r="A50" s="1">
        <v>44661</v>
      </c>
      <c r="B50" t="s">
        <v>411</v>
      </c>
      <c r="C50" t="s">
        <v>412</v>
      </c>
      <c r="D50" t="s">
        <v>109</v>
      </c>
      <c r="E50" t="s">
        <v>62</v>
      </c>
      <c r="F50" t="s">
        <v>44</v>
      </c>
      <c r="G50" t="s">
        <v>4</v>
      </c>
      <c r="H50">
        <v>1</v>
      </c>
      <c r="I50">
        <v>1</v>
      </c>
      <c r="J50" t="s">
        <v>416</v>
      </c>
      <c r="K50">
        <v>1.2</v>
      </c>
      <c r="L50">
        <v>0.5</v>
      </c>
      <c r="M50">
        <v>65</v>
      </c>
      <c r="N50" s="2">
        <v>9286</v>
      </c>
    </row>
    <row r="51" spans="1:17" x14ac:dyDescent="0.25">
      <c r="A51" s="1">
        <v>44667</v>
      </c>
      <c r="B51" t="s">
        <v>181</v>
      </c>
      <c r="C51" t="s">
        <v>412</v>
      </c>
      <c r="D51" t="s">
        <v>110</v>
      </c>
      <c r="E51" t="s">
        <v>64</v>
      </c>
      <c r="F51" t="s">
        <v>43</v>
      </c>
      <c r="G51" t="s">
        <v>19</v>
      </c>
      <c r="H51">
        <v>1</v>
      </c>
      <c r="I51">
        <v>2</v>
      </c>
      <c r="J51" t="s">
        <v>470</v>
      </c>
      <c r="K51">
        <v>0.8</v>
      </c>
      <c r="L51">
        <v>1.2</v>
      </c>
      <c r="M51">
        <v>56</v>
      </c>
      <c r="N51" s="2">
        <v>48169</v>
      </c>
    </row>
    <row r="52" spans="1:17" x14ac:dyDescent="0.25">
      <c r="A52" s="1">
        <v>44671</v>
      </c>
      <c r="B52" t="s">
        <v>162</v>
      </c>
      <c r="C52" t="s">
        <v>412</v>
      </c>
      <c r="D52" t="s">
        <v>111</v>
      </c>
      <c r="E52" t="s">
        <v>92</v>
      </c>
      <c r="F52" t="s">
        <v>44</v>
      </c>
      <c r="G52" t="s">
        <v>19</v>
      </c>
      <c r="H52">
        <v>1</v>
      </c>
      <c r="I52">
        <v>2</v>
      </c>
      <c r="J52" t="s">
        <v>447</v>
      </c>
      <c r="K52">
        <v>1.2</v>
      </c>
      <c r="L52">
        <v>1</v>
      </c>
      <c r="M52">
        <v>59</v>
      </c>
      <c r="N52" s="2">
        <v>10910</v>
      </c>
      <c r="Q52" s="1"/>
    </row>
    <row r="53" spans="1:17" x14ac:dyDescent="0.25">
      <c r="A53" s="1">
        <v>44675</v>
      </c>
      <c r="B53" t="s">
        <v>486</v>
      </c>
      <c r="C53" t="s">
        <v>412</v>
      </c>
      <c r="D53" t="s">
        <v>112</v>
      </c>
      <c r="E53" t="s">
        <v>62</v>
      </c>
      <c r="F53" t="s">
        <v>43</v>
      </c>
      <c r="G53" t="s">
        <v>18</v>
      </c>
      <c r="H53">
        <v>1</v>
      </c>
      <c r="I53">
        <v>0</v>
      </c>
      <c r="J53" t="s">
        <v>414</v>
      </c>
      <c r="K53">
        <v>0.5</v>
      </c>
      <c r="L53">
        <v>1</v>
      </c>
      <c r="M53">
        <v>46</v>
      </c>
      <c r="N53" s="2">
        <v>30211</v>
      </c>
      <c r="P53" s="1"/>
      <c r="Q53" s="1"/>
    </row>
    <row r="54" spans="1:17" x14ac:dyDescent="0.25">
      <c r="A54" s="1">
        <v>44682</v>
      </c>
      <c r="B54" t="s">
        <v>154</v>
      </c>
      <c r="C54" t="s">
        <v>412</v>
      </c>
      <c r="D54" t="s">
        <v>113</v>
      </c>
      <c r="E54" t="s">
        <v>62</v>
      </c>
      <c r="F54" t="s">
        <v>44</v>
      </c>
      <c r="G54" t="s">
        <v>19</v>
      </c>
      <c r="H54">
        <v>0</v>
      </c>
      <c r="I54">
        <v>3</v>
      </c>
      <c r="J54" t="s">
        <v>420</v>
      </c>
      <c r="K54">
        <v>0.5</v>
      </c>
      <c r="L54">
        <v>2.9</v>
      </c>
      <c r="M54">
        <v>61</v>
      </c>
      <c r="N54" s="2">
        <v>10497</v>
      </c>
      <c r="P54" s="1"/>
      <c r="Q54" s="1"/>
    </row>
    <row r="55" spans="1:17" x14ac:dyDescent="0.25">
      <c r="A55" s="1">
        <v>44687</v>
      </c>
      <c r="B55" t="s">
        <v>181</v>
      </c>
      <c r="C55" t="s">
        <v>412</v>
      </c>
      <c r="D55" t="s">
        <v>114</v>
      </c>
      <c r="E55" t="s">
        <v>60</v>
      </c>
      <c r="F55" t="s">
        <v>43</v>
      </c>
      <c r="G55" t="s">
        <v>19</v>
      </c>
      <c r="H55">
        <v>1</v>
      </c>
      <c r="I55">
        <v>2</v>
      </c>
      <c r="J55" t="s">
        <v>419</v>
      </c>
      <c r="K55">
        <v>1</v>
      </c>
      <c r="L55">
        <v>0.3</v>
      </c>
      <c r="M55">
        <v>52</v>
      </c>
      <c r="N55" s="2">
        <v>39088</v>
      </c>
      <c r="P55" s="1"/>
    </row>
    <row r="56" spans="1:17" x14ac:dyDescent="0.25">
      <c r="A56" s="1">
        <v>44695</v>
      </c>
      <c r="B56" t="s">
        <v>181</v>
      </c>
      <c r="C56" t="s">
        <v>412</v>
      </c>
      <c r="D56" t="s">
        <v>115</v>
      </c>
      <c r="E56" t="s">
        <v>64</v>
      </c>
      <c r="F56" t="s">
        <v>44</v>
      </c>
      <c r="G56" t="s">
        <v>18</v>
      </c>
      <c r="H56">
        <v>3</v>
      </c>
      <c r="I56">
        <v>1</v>
      </c>
      <c r="J56" t="s">
        <v>437</v>
      </c>
      <c r="K56">
        <v>2</v>
      </c>
      <c r="L56">
        <v>1.4</v>
      </c>
      <c r="M56">
        <v>41</v>
      </c>
      <c r="N56" s="2">
        <v>24232</v>
      </c>
      <c r="P56" s="1"/>
      <c r="Q56" s="1"/>
    </row>
    <row r="57" spans="1:17" x14ac:dyDescent="0.25">
      <c r="A57" s="1">
        <v>44702</v>
      </c>
      <c r="B57" t="s">
        <v>181</v>
      </c>
      <c r="C57" t="s">
        <v>412</v>
      </c>
      <c r="D57" t="s">
        <v>116</v>
      </c>
      <c r="E57" t="s">
        <v>64</v>
      </c>
      <c r="F57" t="s">
        <v>43</v>
      </c>
      <c r="G57" t="s">
        <v>4</v>
      </c>
      <c r="H57">
        <v>2</v>
      </c>
      <c r="I57">
        <v>2</v>
      </c>
      <c r="J57" t="s">
        <v>421</v>
      </c>
      <c r="K57">
        <v>1.8</v>
      </c>
      <c r="L57">
        <v>1.2</v>
      </c>
      <c r="M57">
        <v>50</v>
      </c>
      <c r="N57" s="2">
        <v>40116</v>
      </c>
      <c r="P57" s="1"/>
      <c r="Q57" s="1"/>
    </row>
    <row r="59" spans="1:17" x14ac:dyDescent="0.25">
      <c r="A59" t="s">
        <v>364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E9FE-B4E9-4E91-811B-5CE30921DED3}">
  <dimension ref="A1:Q51"/>
  <sheetViews>
    <sheetView workbookViewId="0">
      <selection activeCell="O1" sqref="O1:T1048576"/>
    </sheetView>
  </sheetViews>
  <sheetFormatPr defaultRowHeight="15" x14ac:dyDescent="0.25"/>
  <cols>
    <col min="1" max="1" width="10.7109375" customWidth="1"/>
  </cols>
  <sheetData>
    <row r="1" spans="1:17" x14ac:dyDescent="0.25">
      <c r="A1" t="s">
        <v>490</v>
      </c>
    </row>
    <row r="2" spans="1:17" x14ac:dyDescent="0.25">
      <c r="A2" t="s">
        <v>487</v>
      </c>
    </row>
    <row r="3" spans="1:17" x14ac:dyDescent="0.25">
      <c r="A3" t="s">
        <v>488</v>
      </c>
    </row>
    <row r="4" spans="1:17" x14ac:dyDescent="0.25">
      <c r="A4" t="s">
        <v>489</v>
      </c>
    </row>
    <row r="7" spans="1:17" x14ac:dyDescent="0.25">
      <c r="A7" t="s">
        <v>0</v>
      </c>
      <c r="B7" t="s">
        <v>1</v>
      </c>
      <c r="C7" t="s">
        <v>16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 t="s">
        <v>45</v>
      </c>
      <c r="K7" t="s">
        <v>55</v>
      </c>
      <c r="L7" t="s">
        <v>56</v>
      </c>
      <c r="M7" t="s">
        <v>57</v>
      </c>
      <c r="N7" t="s">
        <v>24</v>
      </c>
    </row>
    <row r="8" spans="1:17" x14ac:dyDescent="0.25">
      <c r="A8" s="1">
        <v>44780</v>
      </c>
      <c r="B8" t="s">
        <v>411</v>
      </c>
      <c r="C8" t="s">
        <v>412</v>
      </c>
      <c r="D8" t="s">
        <v>59</v>
      </c>
      <c r="E8" t="s">
        <v>62</v>
      </c>
      <c r="F8" t="s">
        <v>43</v>
      </c>
      <c r="G8" t="s">
        <v>18</v>
      </c>
      <c r="H8">
        <v>4</v>
      </c>
      <c r="I8">
        <v>1</v>
      </c>
      <c r="J8" t="s">
        <v>485</v>
      </c>
      <c r="K8">
        <v>2.4</v>
      </c>
      <c r="L8">
        <v>0.6</v>
      </c>
      <c r="M8">
        <v>59</v>
      </c>
      <c r="N8" s="2">
        <v>32292</v>
      </c>
    </row>
    <row r="9" spans="1:17" x14ac:dyDescent="0.25">
      <c r="A9" s="1">
        <v>44785</v>
      </c>
      <c r="B9" t="s">
        <v>181</v>
      </c>
      <c r="C9" t="s">
        <v>412</v>
      </c>
      <c r="D9" t="s">
        <v>61</v>
      </c>
      <c r="E9" t="s">
        <v>60</v>
      </c>
      <c r="F9" t="s">
        <v>44</v>
      </c>
      <c r="G9" t="s">
        <v>4</v>
      </c>
      <c r="H9">
        <v>1</v>
      </c>
      <c r="I9">
        <v>1</v>
      </c>
      <c r="J9" t="s">
        <v>413</v>
      </c>
      <c r="K9">
        <v>2</v>
      </c>
      <c r="L9">
        <v>1</v>
      </c>
      <c r="M9">
        <v>69</v>
      </c>
      <c r="N9" s="2">
        <v>30689</v>
      </c>
      <c r="Q9" s="1"/>
    </row>
    <row r="10" spans="1:17" x14ac:dyDescent="0.25">
      <c r="A10" s="1">
        <v>44794</v>
      </c>
      <c r="B10" t="s">
        <v>156</v>
      </c>
      <c r="C10" t="s">
        <v>412</v>
      </c>
      <c r="D10" t="s">
        <v>63</v>
      </c>
      <c r="E10" t="s">
        <v>62</v>
      </c>
      <c r="F10" t="s">
        <v>43</v>
      </c>
      <c r="G10" t="s">
        <v>19</v>
      </c>
      <c r="H10">
        <v>1</v>
      </c>
      <c r="I10">
        <v>7</v>
      </c>
      <c r="J10" t="s">
        <v>434</v>
      </c>
      <c r="K10">
        <v>1.7</v>
      </c>
      <c r="L10">
        <v>3.4</v>
      </c>
      <c r="M10">
        <v>48</v>
      </c>
      <c r="N10" s="2">
        <v>47526</v>
      </c>
      <c r="Q10" s="1"/>
    </row>
    <row r="11" spans="1:17" x14ac:dyDescent="0.25">
      <c r="A11" s="1">
        <v>44799</v>
      </c>
      <c r="B11" t="s">
        <v>181</v>
      </c>
      <c r="C11" t="s">
        <v>412</v>
      </c>
      <c r="D11" t="s">
        <v>66</v>
      </c>
      <c r="E11" t="s">
        <v>60</v>
      </c>
      <c r="F11" t="s">
        <v>44</v>
      </c>
      <c r="G11" t="s">
        <v>18</v>
      </c>
      <c r="H11">
        <v>3</v>
      </c>
      <c r="I11">
        <v>1</v>
      </c>
      <c r="J11" t="s">
        <v>491</v>
      </c>
      <c r="K11">
        <v>1.7</v>
      </c>
      <c r="L11">
        <v>1.5</v>
      </c>
      <c r="M11">
        <v>58</v>
      </c>
      <c r="N11" s="2">
        <v>9070</v>
      </c>
      <c r="Q11" s="1"/>
    </row>
    <row r="12" spans="1:17" x14ac:dyDescent="0.25">
      <c r="A12" s="1">
        <v>44804</v>
      </c>
      <c r="B12" t="s">
        <v>181</v>
      </c>
      <c r="C12" t="s">
        <v>412</v>
      </c>
      <c r="D12" t="s">
        <v>68</v>
      </c>
      <c r="E12" t="s">
        <v>92</v>
      </c>
      <c r="F12" t="s">
        <v>43</v>
      </c>
      <c r="G12" t="s">
        <v>19</v>
      </c>
      <c r="H12">
        <v>1</v>
      </c>
      <c r="I12">
        <v>2</v>
      </c>
      <c r="J12" t="s">
        <v>437</v>
      </c>
      <c r="K12">
        <v>0.9</v>
      </c>
      <c r="L12">
        <v>1.6</v>
      </c>
      <c r="M12">
        <v>62</v>
      </c>
      <c r="N12" s="2">
        <v>30254</v>
      </c>
      <c r="Q12" s="1"/>
    </row>
    <row r="13" spans="1:17" x14ac:dyDescent="0.25">
      <c r="A13" s="1">
        <v>44808</v>
      </c>
      <c r="B13" t="s">
        <v>154</v>
      </c>
      <c r="C13" t="s">
        <v>412</v>
      </c>
      <c r="D13" t="s">
        <v>71</v>
      </c>
      <c r="E13" t="s">
        <v>62</v>
      </c>
      <c r="F13" t="s">
        <v>44</v>
      </c>
      <c r="G13" t="s">
        <v>18</v>
      </c>
      <c r="H13">
        <v>3</v>
      </c>
      <c r="I13">
        <v>1</v>
      </c>
      <c r="J13" t="s">
        <v>431</v>
      </c>
      <c r="K13">
        <v>1.6</v>
      </c>
      <c r="L13">
        <v>0.5</v>
      </c>
      <c r="M13">
        <v>75</v>
      </c>
      <c r="N13" s="2">
        <v>12215</v>
      </c>
    </row>
    <row r="14" spans="1:17" x14ac:dyDescent="0.25">
      <c r="A14" s="1">
        <v>44814</v>
      </c>
      <c r="B14" t="s">
        <v>181</v>
      </c>
      <c r="C14" t="s">
        <v>412</v>
      </c>
      <c r="D14" t="s">
        <v>72</v>
      </c>
      <c r="E14" t="s">
        <v>64</v>
      </c>
      <c r="F14" t="s">
        <v>44</v>
      </c>
      <c r="G14" t="s">
        <v>19</v>
      </c>
      <c r="H14">
        <v>1</v>
      </c>
      <c r="I14">
        <v>2</v>
      </c>
      <c r="J14" t="s">
        <v>427</v>
      </c>
      <c r="K14">
        <v>1</v>
      </c>
      <c r="L14">
        <v>2.2000000000000002</v>
      </c>
      <c r="M14">
        <v>47</v>
      </c>
      <c r="N14" s="2">
        <v>62985</v>
      </c>
      <c r="P14" s="1"/>
      <c r="Q14" s="1"/>
    </row>
    <row r="15" spans="1:17" x14ac:dyDescent="0.25">
      <c r="A15" s="1">
        <v>44821</v>
      </c>
      <c r="B15" t="s">
        <v>181</v>
      </c>
      <c r="C15" t="s">
        <v>412</v>
      </c>
      <c r="D15" t="s">
        <v>74</v>
      </c>
      <c r="E15" t="s">
        <v>64</v>
      </c>
      <c r="F15" t="s">
        <v>43</v>
      </c>
      <c r="G15" t="s">
        <v>18</v>
      </c>
      <c r="H15">
        <v>2</v>
      </c>
      <c r="I15">
        <v>1</v>
      </c>
      <c r="J15" t="s">
        <v>433</v>
      </c>
      <c r="K15">
        <v>1</v>
      </c>
      <c r="L15">
        <v>0.8</v>
      </c>
      <c r="M15">
        <v>45</v>
      </c>
      <c r="N15" s="2">
        <v>33635</v>
      </c>
      <c r="Q15" s="1"/>
    </row>
    <row r="16" spans="1:17" x14ac:dyDescent="0.25">
      <c r="A16" s="1">
        <v>44836</v>
      </c>
      <c r="B16" t="s">
        <v>154</v>
      </c>
      <c r="C16" t="s">
        <v>412</v>
      </c>
      <c r="D16" t="s">
        <v>75</v>
      </c>
      <c r="E16" t="s">
        <v>62</v>
      </c>
      <c r="F16" t="s">
        <v>44</v>
      </c>
      <c r="G16" t="s">
        <v>19</v>
      </c>
      <c r="H16">
        <v>1</v>
      </c>
      <c r="I16">
        <v>2</v>
      </c>
      <c r="J16" t="s">
        <v>474</v>
      </c>
      <c r="K16">
        <v>2.2000000000000002</v>
      </c>
      <c r="L16">
        <v>0.6</v>
      </c>
      <c r="M16">
        <v>63</v>
      </c>
      <c r="N16" s="2">
        <v>14916</v>
      </c>
    </row>
    <row r="17" spans="1:17" x14ac:dyDescent="0.25">
      <c r="A17" s="1">
        <v>44843</v>
      </c>
      <c r="B17" t="s">
        <v>156</v>
      </c>
      <c r="C17" t="s">
        <v>412</v>
      </c>
      <c r="D17" t="s">
        <v>79</v>
      </c>
      <c r="E17" t="s">
        <v>62</v>
      </c>
      <c r="F17" t="s">
        <v>43</v>
      </c>
      <c r="G17" t="s">
        <v>18</v>
      </c>
      <c r="H17">
        <v>1</v>
      </c>
      <c r="I17">
        <v>0</v>
      </c>
      <c r="J17" t="s">
        <v>470</v>
      </c>
      <c r="K17">
        <v>2.6</v>
      </c>
      <c r="L17">
        <v>1.2</v>
      </c>
      <c r="M17">
        <v>45</v>
      </c>
      <c r="N17" s="2">
        <v>48527</v>
      </c>
      <c r="Q17" s="1"/>
    </row>
    <row r="18" spans="1:17" x14ac:dyDescent="0.25">
      <c r="A18" s="1">
        <v>44848</v>
      </c>
      <c r="B18" t="s">
        <v>181</v>
      </c>
      <c r="C18" t="s">
        <v>412</v>
      </c>
      <c r="D18" t="s">
        <v>81</v>
      </c>
      <c r="E18" t="s">
        <v>60</v>
      </c>
      <c r="F18" t="s">
        <v>44</v>
      </c>
      <c r="G18" t="s">
        <v>18</v>
      </c>
      <c r="H18">
        <v>3</v>
      </c>
      <c r="I18">
        <v>0</v>
      </c>
      <c r="J18" t="s">
        <v>414</v>
      </c>
      <c r="K18">
        <v>2.2999999999999998</v>
      </c>
      <c r="L18">
        <v>0.6</v>
      </c>
      <c r="M18">
        <v>57</v>
      </c>
      <c r="N18" s="2">
        <v>25313</v>
      </c>
      <c r="Q18" s="1"/>
    </row>
    <row r="19" spans="1:17" x14ac:dyDescent="0.25">
      <c r="A19" s="1">
        <v>44857</v>
      </c>
      <c r="B19" t="s">
        <v>156</v>
      </c>
      <c r="C19" t="s">
        <v>412</v>
      </c>
      <c r="D19" t="s">
        <v>83</v>
      </c>
      <c r="E19" t="s">
        <v>62</v>
      </c>
      <c r="F19" t="s">
        <v>43</v>
      </c>
      <c r="G19" t="s">
        <v>18</v>
      </c>
      <c r="H19">
        <v>4</v>
      </c>
      <c r="I19">
        <v>3</v>
      </c>
      <c r="J19" t="s">
        <v>419</v>
      </c>
      <c r="K19">
        <v>2.5</v>
      </c>
      <c r="L19">
        <v>1.1000000000000001</v>
      </c>
      <c r="M19">
        <v>59</v>
      </c>
      <c r="N19" s="2">
        <v>35362</v>
      </c>
      <c r="Q19" s="1"/>
    </row>
    <row r="20" spans="1:17" x14ac:dyDescent="0.25">
      <c r="A20" s="1">
        <v>44864</v>
      </c>
      <c r="B20" t="s">
        <v>180</v>
      </c>
      <c r="C20" t="s">
        <v>412</v>
      </c>
      <c r="D20" t="s">
        <v>84</v>
      </c>
      <c r="E20" t="s">
        <v>62</v>
      </c>
      <c r="F20" t="s">
        <v>44</v>
      </c>
      <c r="G20" t="s">
        <v>19</v>
      </c>
      <c r="H20">
        <v>0</v>
      </c>
      <c r="I20">
        <v>1</v>
      </c>
      <c r="J20" t="s">
        <v>432</v>
      </c>
      <c r="K20">
        <v>1.5</v>
      </c>
      <c r="L20">
        <v>1.6</v>
      </c>
      <c r="M20">
        <v>55</v>
      </c>
      <c r="N20" s="2">
        <v>55790</v>
      </c>
      <c r="Q20" s="1"/>
    </row>
    <row r="21" spans="1:17" x14ac:dyDescent="0.25">
      <c r="A21" s="1">
        <v>44871</v>
      </c>
      <c r="B21" t="s">
        <v>486</v>
      </c>
      <c r="C21" t="s">
        <v>412</v>
      </c>
      <c r="D21" t="s">
        <v>86</v>
      </c>
      <c r="E21" t="s">
        <v>62</v>
      </c>
      <c r="F21" t="s">
        <v>43</v>
      </c>
      <c r="G21" t="s">
        <v>4</v>
      </c>
      <c r="H21">
        <v>1</v>
      </c>
      <c r="I21">
        <v>1</v>
      </c>
      <c r="J21" t="s">
        <v>421</v>
      </c>
      <c r="K21">
        <v>2.4</v>
      </c>
      <c r="L21">
        <v>0.9</v>
      </c>
      <c r="M21">
        <v>62</v>
      </c>
      <c r="N21" s="2">
        <v>35539</v>
      </c>
      <c r="Q21" s="1"/>
    </row>
    <row r="22" spans="1:17" x14ac:dyDescent="0.25">
      <c r="A22" s="1">
        <v>44878</v>
      </c>
      <c r="B22" t="s">
        <v>411</v>
      </c>
      <c r="C22" t="s">
        <v>412</v>
      </c>
      <c r="D22" t="s">
        <v>87</v>
      </c>
      <c r="E22" t="s">
        <v>62</v>
      </c>
      <c r="F22" t="s">
        <v>43</v>
      </c>
      <c r="G22" t="s">
        <v>18</v>
      </c>
      <c r="H22">
        <v>1</v>
      </c>
      <c r="I22">
        <v>0</v>
      </c>
      <c r="J22" t="s">
        <v>416</v>
      </c>
      <c r="K22">
        <v>0.6</v>
      </c>
      <c r="L22">
        <v>0.6</v>
      </c>
      <c r="M22">
        <v>58</v>
      </c>
      <c r="N22" s="2">
        <v>36360</v>
      </c>
      <c r="Q22" s="1"/>
    </row>
    <row r="23" spans="1:17" x14ac:dyDescent="0.25">
      <c r="A23" s="1">
        <v>44923</v>
      </c>
      <c r="B23" t="s">
        <v>162</v>
      </c>
      <c r="C23" t="s">
        <v>412</v>
      </c>
      <c r="D23" t="s">
        <v>88</v>
      </c>
      <c r="E23" t="s">
        <v>92</v>
      </c>
      <c r="F23" t="s">
        <v>44</v>
      </c>
      <c r="G23" t="s">
        <v>18</v>
      </c>
      <c r="H23">
        <v>2</v>
      </c>
      <c r="I23">
        <v>0</v>
      </c>
      <c r="J23" t="s">
        <v>483</v>
      </c>
      <c r="K23">
        <v>1.6</v>
      </c>
      <c r="L23">
        <v>0.7</v>
      </c>
      <c r="M23">
        <v>57</v>
      </c>
      <c r="N23" s="2">
        <v>13122</v>
      </c>
      <c r="P23" s="1"/>
      <c r="Q23" s="1"/>
    </row>
    <row r="24" spans="1:17" x14ac:dyDescent="0.25">
      <c r="A24" s="1">
        <v>44928</v>
      </c>
      <c r="B24" t="s">
        <v>244</v>
      </c>
      <c r="C24" t="s">
        <v>412</v>
      </c>
      <c r="D24" t="s">
        <v>90</v>
      </c>
      <c r="E24" t="s">
        <v>117</v>
      </c>
      <c r="F24" t="s">
        <v>43</v>
      </c>
      <c r="G24" t="s">
        <v>4</v>
      </c>
      <c r="H24">
        <v>1</v>
      </c>
      <c r="I24">
        <v>1</v>
      </c>
      <c r="J24" t="s">
        <v>447</v>
      </c>
      <c r="K24">
        <v>2.2999999999999998</v>
      </c>
      <c r="L24">
        <v>0.8</v>
      </c>
      <c r="M24">
        <v>61</v>
      </c>
      <c r="N24" s="2">
        <v>31086</v>
      </c>
      <c r="P24" s="1"/>
    </row>
    <row r="25" spans="1:17" x14ac:dyDescent="0.25">
      <c r="A25" s="1">
        <v>44934</v>
      </c>
      <c r="B25" t="s">
        <v>156</v>
      </c>
      <c r="C25" t="s">
        <v>440</v>
      </c>
      <c r="D25" t="s">
        <v>305</v>
      </c>
      <c r="E25" t="s">
        <v>62</v>
      </c>
      <c r="F25" t="s">
        <v>43</v>
      </c>
      <c r="G25" t="s">
        <v>18</v>
      </c>
      <c r="H25">
        <v>2</v>
      </c>
      <c r="I25">
        <v>0</v>
      </c>
      <c r="J25" t="s">
        <v>420</v>
      </c>
      <c r="M25">
        <v>71</v>
      </c>
      <c r="N25" s="2">
        <v>13185</v>
      </c>
    </row>
    <row r="26" spans="1:17" x14ac:dyDescent="0.25">
      <c r="A26" s="1">
        <v>44937</v>
      </c>
      <c r="B26" t="s">
        <v>162</v>
      </c>
      <c r="C26" t="s">
        <v>412</v>
      </c>
      <c r="D26" t="s">
        <v>93</v>
      </c>
      <c r="E26" t="s">
        <v>92</v>
      </c>
      <c r="F26" t="s">
        <v>44</v>
      </c>
      <c r="G26" t="s">
        <v>4</v>
      </c>
      <c r="H26">
        <v>0</v>
      </c>
      <c r="I26">
        <v>0</v>
      </c>
      <c r="J26" t="s">
        <v>459</v>
      </c>
      <c r="K26">
        <v>0.7</v>
      </c>
      <c r="L26">
        <v>0.3</v>
      </c>
      <c r="M26">
        <v>71</v>
      </c>
      <c r="N26" s="2">
        <v>11452</v>
      </c>
      <c r="Q26" s="1"/>
    </row>
    <row r="27" spans="1:17" x14ac:dyDescent="0.25">
      <c r="A27" s="1">
        <v>44941</v>
      </c>
      <c r="B27" t="s">
        <v>154</v>
      </c>
      <c r="C27" t="s">
        <v>412</v>
      </c>
      <c r="D27" t="s">
        <v>94</v>
      </c>
      <c r="E27" t="s">
        <v>62</v>
      </c>
      <c r="F27" t="s">
        <v>43</v>
      </c>
      <c r="G27" t="s">
        <v>18</v>
      </c>
      <c r="H27">
        <v>5</v>
      </c>
      <c r="I27">
        <v>1</v>
      </c>
      <c r="J27" t="s">
        <v>420</v>
      </c>
      <c r="K27">
        <v>3.8</v>
      </c>
      <c r="L27">
        <v>0.9</v>
      </c>
      <c r="M27">
        <v>67</v>
      </c>
      <c r="N27" s="2">
        <v>31254</v>
      </c>
      <c r="P27" s="1"/>
    </row>
    <row r="28" spans="1:17" x14ac:dyDescent="0.25">
      <c r="A28" s="1">
        <v>44948</v>
      </c>
      <c r="B28" t="s">
        <v>157</v>
      </c>
      <c r="C28" t="s">
        <v>440</v>
      </c>
      <c r="D28" t="s">
        <v>77</v>
      </c>
      <c r="E28" t="s">
        <v>62</v>
      </c>
      <c r="F28" t="s">
        <v>43</v>
      </c>
      <c r="G28" t="s">
        <v>18</v>
      </c>
      <c r="H28">
        <v>2</v>
      </c>
      <c r="I28">
        <v>0</v>
      </c>
      <c r="J28" t="s">
        <v>492</v>
      </c>
      <c r="M28">
        <v>72</v>
      </c>
      <c r="N28" s="2">
        <v>12451</v>
      </c>
      <c r="P28" s="1"/>
      <c r="Q28" s="1"/>
    </row>
    <row r="29" spans="1:17" x14ac:dyDescent="0.25">
      <c r="A29" s="1">
        <v>44955</v>
      </c>
      <c r="B29" t="s">
        <v>154</v>
      </c>
      <c r="C29" t="s">
        <v>412</v>
      </c>
      <c r="D29" t="s">
        <v>97</v>
      </c>
      <c r="E29" t="s">
        <v>62</v>
      </c>
      <c r="F29" t="s">
        <v>44</v>
      </c>
      <c r="G29" t="s">
        <v>19</v>
      </c>
      <c r="H29">
        <v>0</v>
      </c>
      <c r="I29">
        <v>1</v>
      </c>
      <c r="J29" t="s">
        <v>437</v>
      </c>
      <c r="K29">
        <v>1.6</v>
      </c>
      <c r="L29">
        <v>1.6</v>
      </c>
      <c r="M29">
        <v>56</v>
      </c>
      <c r="N29" s="2">
        <v>22126</v>
      </c>
      <c r="Q29" s="1"/>
    </row>
    <row r="30" spans="1:17" x14ac:dyDescent="0.25">
      <c r="A30" s="1">
        <v>44958</v>
      </c>
      <c r="B30" t="s">
        <v>162</v>
      </c>
      <c r="C30" t="s">
        <v>412</v>
      </c>
      <c r="D30" t="s">
        <v>98</v>
      </c>
      <c r="E30" t="s">
        <v>92</v>
      </c>
      <c r="F30" t="s">
        <v>43</v>
      </c>
      <c r="G30" t="s">
        <v>4</v>
      </c>
      <c r="H30">
        <v>0</v>
      </c>
      <c r="I30">
        <v>0</v>
      </c>
      <c r="J30" t="s">
        <v>483</v>
      </c>
      <c r="K30">
        <v>1.3</v>
      </c>
      <c r="L30">
        <v>1.4</v>
      </c>
      <c r="M30">
        <v>66</v>
      </c>
      <c r="N30" s="2">
        <v>32498</v>
      </c>
      <c r="Q30" s="1"/>
    </row>
    <row r="31" spans="1:17" x14ac:dyDescent="0.25">
      <c r="A31" s="1">
        <v>44961</v>
      </c>
      <c r="B31" t="s">
        <v>181</v>
      </c>
      <c r="C31" t="s">
        <v>412</v>
      </c>
      <c r="D31" t="s">
        <v>100</v>
      </c>
      <c r="E31" t="s">
        <v>64</v>
      </c>
      <c r="F31" t="s">
        <v>44</v>
      </c>
      <c r="G31" t="s">
        <v>18</v>
      </c>
      <c r="H31">
        <v>3</v>
      </c>
      <c r="I31">
        <v>1</v>
      </c>
      <c r="J31" t="s">
        <v>421</v>
      </c>
      <c r="K31">
        <v>2.2000000000000002</v>
      </c>
      <c r="L31">
        <v>1.8</v>
      </c>
      <c r="M31">
        <v>61</v>
      </c>
      <c r="N31" s="2">
        <v>28082</v>
      </c>
      <c r="Q31" s="1"/>
    </row>
    <row r="32" spans="1:17" x14ac:dyDescent="0.25">
      <c r="A32" s="1">
        <v>44965</v>
      </c>
      <c r="B32" t="s">
        <v>296</v>
      </c>
      <c r="C32" t="s">
        <v>440</v>
      </c>
      <c r="D32" t="s">
        <v>91</v>
      </c>
      <c r="E32" t="s">
        <v>92</v>
      </c>
      <c r="F32" t="s">
        <v>44</v>
      </c>
      <c r="G32" t="s">
        <v>4</v>
      </c>
      <c r="H32" t="s">
        <v>165</v>
      </c>
      <c r="I32" t="s">
        <v>425</v>
      </c>
      <c r="J32" t="s">
        <v>432</v>
      </c>
      <c r="M32">
        <v>62</v>
      </c>
      <c r="N32" s="2">
        <v>24779</v>
      </c>
    </row>
    <row r="33" spans="1:17" x14ac:dyDescent="0.25">
      <c r="A33" s="1">
        <v>44969</v>
      </c>
      <c r="B33" t="s">
        <v>411</v>
      </c>
      <c r="C33" t="s">
        <v>412</v>
      </c>
      <c r="D33" t="s">
        <v>101</v>
      </c>
      <c r="E33" t="s">
        <v>62</v>
      </c>
      <c r="F33" t="s">
        <v>43</v>
      </c>
      <c r="G33" t="s">
        <v>18</v>
      </c>
      <c r="H33">
        <v>2</v>
      </c>
      <c r="I33">
        <v>0</v>
      </c>
      <c r="J33" t="s">
        <v>414</v>
      </c>
      <c r="K33">
        <v>2.7</v>
      </c>
      <c r="L33">
        <v>0.3</v>
      </c>
      <c r="M33">
        <v>67</v>
      </c>
      <c r="N33" s="2">
        <v>30812</v>
      </c>
      <c r="Q33" s="1"/>
    </row>
    <row r="34" spans="1:17" x14ac:dyDescent="0.25">
      <c r="A34" s="1">
        <v>44976</v>
      </c>
      <c r="B34" t="s">
        <v>154</v>
      </c>
      <c r="C34" t="s">
        <v>412</v>
      </c>
      <c r="D34" t="s">
        <v>102</v>
      </c>
      <c r="E34" t="s">
        <v>62</v>
      </c>
      <c r="F34" t="s">
        <v>44</v>
      </c>
      <c r="G34" t="s">
        <v>19</v>
      </c>
      <c r="H34">
        <v>3</v>
      </c>
      <c r="I34">
        <v>4</v>
      </c>
      <c r="J34" t="s">
        <v>434</v>
      </c>
      <c r="K34">
        <v>2.4</v>
      </c>
      <c r="L34">
        <v>2</v>
      </c>
      <c r="M34">
        <v>54</v>
      </c>
      <c r="N34" s="2">
        <v>46000</v>
      </c>
    </row>
    <row r="35" spans="1:17" x14ac:dyDescent="0.25">
      <c r="A35" s="1">
        <v>44981</v>
      </c>
      <c r="B35" t="s">
        <v>181</v>
      </c>
      <c r="C35" t="s">
        <v>412</v>
      </c>
      <c r="D35" t="s">
        <v>103</v>
      </c>
      <c r="E35" t="s">
        <v>60</v>
      </c>
      <c r="F35" t="s">
        <v>43</v>
      </c>
      <c r="G35" t="s">
        <v>18</v>
      </c>
      <c r="H35">
        <v>2</v>
      </c>
      <c r="I35">
        <v>1</v>
      </c>
      <c r="J35" t="s">
        <v>459</v>
      </c>
      <c r="K35">
        <v>1</v>
      </c>
      <c r="L35">
        <v>0.2</v>
      </c>
      <c r="M35">
        <v>69</v>
      </c>
      <c r="N35" s="2">
        <v>30257</v>
      </c>
    </row>
    <row r="36" spans="1:17" x14ac:dyDescent="0.25">
      <c r="A36" s="1">
        <v>44989</v>
      </c>
      <c r="B36" t="s">
        <v>244</v>
      </c>
      <c r="C36" t="s">
        <v>412</v>
      </c>
      <c r="D36" t="s">
        <v>104</v>
      </c>
      <c r="E36" t="s">
        <v>64</v>
      </c>
      <c r="F36" t="s">
        <v>44</v>
      </c>
      <c r="G36" t="s">
        <v>4</v>
      </c>
      <c r="H36">
        <v>1</v>
      </c>
      <c r="I36">
        <v>1</v>
      </c>
      <c r="J36" t="s">
        <v>470</v>
      </c>
      <c r="K36">
        <v>1.6</v>
      </c>
      <c r="L36">
        <v>0.9</v>
      </c>
      <c r="M36">
        <v>62</v>
      </c>
      <c r="N36" s="2">
        <v>37974</v>
      </c>
    </row>
    <row r="37" spans="1:17" x14ac:dyDescent="0.25">
      <c r="A37" s="1">
        <v>44995</v>
      </c>
      <c r="B37" t="s">
        <v>181</v>
      </c>
      <c r="C37" t="s">
        <v>412</v>
      </c>
      <c r="D37" t="s">
        <v>105</v>
      </c>
      <c r="E37" t="s">
        <v>60</v>
      </c>
      <c r="F37" t="s">
        <v>43</v>
      </c>
      <c r="G37" t="s">
        <v>4</v>
      </c>
      <c r="H37">
        <v>3</v>
      </c>
      <c r="I37">
        <v>3</v>
      </c>
      <c r="J37" t="s">
        <v>432</v>
      </c>
      <c r="K37">
        <v>2.2999999999999998</v>
      </c>
      <c r="L37">
        <v>0.8</v>
      </c>
      <c r="M37">
        <v>55</v>
      </c>
      <c r="N37" s="2">
        <v>40314</v>
      </c>
      <c r="Q37" s="1"/>
    </row>
    <row r="38" spans="1:17" x14ac:dyDescent="0.25">
      <c r="A38" t="s">
        <v>0</v>
      </c>
      <c r="B38" t="s">
        <v>1</v>
      </c>
      <c r="C38" t="s">
        <v>16</v>
      </c>
      <c r="D38" t="s">
        <v>51</v>
      </c>
      <c r="E38" t="s">
        <v>52</v>
      </c>
      <c r="F38" t="s">
        <v>53</v>
      </c>
      <c r="G38" t="s">
        <v>54</v>
      </c>
      <c r="H38" t="s">
        <v>20</v>
      </c>
      <c r="I38" t="s">
        <v>21</v>
      </c>
      <c r="J38" t="s">
        <v>45</v>
      </c>
      <c r="K38" t="s">
        <v>55</v>
      </c>
      <c r="L38" t="s">
        <v>56</v>
      </c>
      <c r="M38" t="s">
        <v>57</v>
      </c>
      <c r="N38" t="s">
        <v>24</v>
      </c>
    </row>
    <row r="39" spans="1:17" x14ac:dyDescent="0.25">
      <c r="A39" s="1">
        <v>45003</v>
      </c>
      <c r="B39" t="s">
        <v>472</v>
      </c>
      <c r="C39" t="s">
        <v>412</v>
      </c>
      <c r="D39" t="s">
        <v>106</v>
      </c>
      <c r="E39" t="s">
        <v>64</v>
      </c>
      <c r="F39" t="s">
        <v>44</v>
      </c>
      <c r="G39" t="s">
        <v>18</v>
      </c>
      <c r="H39">
        <v>2</v>
      </c>
      <c r="I39">
        <v>0</v>
      </c>
      <c r="J39" t="s">
        <v>433</v>
      </c>
      <c r="K39">
        <v>1.4</v>
      </c>
      <c r="L39">
        <v>2.2999999999999998</v>
      </c>
      <c r="M39">
        <v>53</v>
      </c>
      <c r="N39" s="2">
        <v>23006</v>
      </c>
    </row>
    <row r="40" spans="1:17" x14ac:dyDescent="0.25">
      <c r="A40" s="1">
        <v>45018</v>
      </c>
      <c r="B40" t="s">
        <v>154</v>
      </c>
      <c r="C40" t="s">
        <v>412</v>
      </c>
      <c r="D40" t="s">
        <v>107</v>
      </c>
      <c r="E40" t="s">
        <v>62</v>
      </c>
      <c r="F40" t="s">
        <v>43</v>
      </c>
      <c r="G40" t="s">
        <v>18</v>
      </c>
      <c r="H40">
        <v>3</v>
      </c>
      <c r="I40">
        <v>1</v>
      </c>
      <c r="J40" t="s">
        <v>474</v>
      </c>
      <c r="K40">
        <v>2</v>
      </c>
      <c r="L40">
        <v>0.2</v>
      </c>
      <c r="M40">
        <v>60</v>
      </c>
      <c r="N40" s="2">
        <v>32862</v>
      </c>
    </row>
    <row r="41" spans="1:17" x14ac:dyDescent="0.25">
      <c r="A41" s="1">
        <v>45024</v>
      </c>
      <c r="B41" t="s">
        <v>244</v>
      </c>
      <c r="C41" t="s">
        <v>412</v>
      </c>
      <c r="D41" t="s">
        <v>108</v>
      </c>
      <c r="E41" t="s">
        <v>64</v>
      </c>
      <c r="F41" t="s">
        <v>44</v>
      </c>
      <c r="G41" t="s">
        <v>19</v>
      </c>
      <c r="H41">
        <v>0</v>
      </c>
      <c r="I41">
        <v>1</v>
      </c>
      <c r="J41" t="s">
        <v>416</v>
      </c>
      <c r="K41">
        <v>1.4</v>
      </c>
      <c r="L41">
        <v>1</v>
      </c>
      <c r="M41">
        <v>66</v>
      </c>
      <c r="N41" s="2">
        <v>7469</v>
      </c>
      <c r="Q41" s="1"/>
    </row>
    <row r="42" spans="1:17" x14ac:dyDescent="0.25">
      <c r="A42" s="1">
        <v>45032</v>
      </c>
      <c r="B42" t="s">
        <v>154</v>
      </c>
      <c r="C42" t="s">
        <v>412</v>
      </c>
      <c r="D42" t="s">
        <v>109</v>
      </c>
      <c r="E42" t="s">
        <v>62</v>
      </c>
      <c r="F42" t="s">
        <v>43</v>
      </c>
      <c r="G42" t="s">
        <v>18</v>
      </c>
      <c r="H42">
        <v>2</v>
      </c>
      <c r="I42">
        <v>1</v>
      </c>
      <c r="J42" t="s">
        <v>431</v>
      </c>
      <c r="K42">
        <v>2.1</v>
      </c>
      <c r="L42">
        <v>0.4</v>
      </c>
      <c r="M42">
        <v>68</v>
      </c>
      <c r="N42" s="2">
        <v>34200</v>
      </c>
    </row>
    <row r="43" spans="1:17" x14ac:dyDescent="0.25">
      <c r="A43" s="1">
        <v>45038</v>
      </c>
      <c r="B43" t="s">
        <v>244</v>
      </c>
      <c r="C43" t="s">
        <v>412</v>
      </c>
      <c r="D43" t="s">
        <v>110</v>
      </c>
      <c r="E43" t="s">
        <v>64</v>
      </c>
      <c r="F43" t="s">
        <v>44</v>
      </c>
      <c r="G43" t="s">
        <v>4</v>
      </c>
      <c r="H43">
        <v>1</v>
      </c>
      <c r="I43">
        <v>1</v>
      </c>
      <c r="J43" t="s">
        <v>485</v>
      </c>
      <c r="K43">
        <v>2.2000000000000002</v>
      </c>
      <c r="L43">
        <v>1.5</v>
      </c>
      <c r="M43">
        <v>69</v>
      </c>
      <c r="N43" s="2">
        <v>16779</v>
      </c>
      <c r="Q43" s="1"/>
    </row>
    <row r="44" spans="1:17" x14ac:dyDescent="0.25">
      <c r="A44" s="1">
        <v>45045</v>
      </c>
      <c r="B44" t="s">
        <v>244</v>
      </c>
      <c r="C44" t="s">
        <v>412</v>
      </c>
      <c r="D44" t="s">
        <v>111</v>
      </c>
      <c r="E44" t="s">
        <v>64</v>
      </c>
      <c r="F44" t="s">
        <v>43</v>
      </c>
      <c r="G44" t="s">
        <v>18</v>
      </c>
      <c r="H44">
        <v>3</v>
      </c>
      <c r="I44">
        <v>0</v>
      </c>
      <c r="J44" t="s">
        <v>491</v>
      </c>
      <c r="K44">
        <v>1.6</v>
      </c>
      <c r="L44">
        <v>0.5</v>
      </c>
      <c r="M44">
        <v>75</v>
      </c>
      <c r="N44" s="2">
        <v>35490</v>
      </c>
      <c r="Q44" s="1"/>
    </row>
    <row r="45" spans="1:17" x14ac:dyDescent="0.25">
      <c r="A45" s="1">
        <v>45052</v>
      </c>
      <c r="B45" t="s">
        <v>162</v>
      </c>
      <c r="C45" t="s">
        <v>412</v>
      </c>
      <c r="D45" t="s">
        <v>112</v>
      </c>
      <c r="E45" t="s">
        <v>64</v>
      </c>
      <c r="F45" t="s">
        <v>44</v>
      </c>
      <c r="G45" t="s">
        <v>19</v>
      </c>
      <c r="H45">
        <v>0</v>
      </c>
      <c r="I45">
        <v>1</v>
      </c>
      <c r="J45" t="s">
        <v>447</v>
      </c>
      <c r="K45">
        <v>1.7</v>
      </c>
      <c r="L45">
        <v>2</v>
      </c>
      <c r="M45">
        <v>63</v>
      </c>
      <c r="N45" s="2">
        <v>17911</v>
      </c>
    </row>
    <row r="46" spans="1:17" x14ac:dyDescent="0.25">
      <c r="A46" s="1">
        <v>45060</v>
      </c>
      <c r="B46" t="s">
        <v>486</v>
      </c>
      <c r="C46" t="s">
        <v>412</v>
      </c>
      <c r="D46" t="s">
        <v>113</v>
      </c>
      <c r="E46" t="s">
        <v>62</v>
      </c>
      <c r="F46" t="s">
        <v>44</v>
      </c>
      <c r="G46" t="s">
        <v>4</v>
      </c>
      <c r="H46">
        <v>0</v>
      </c>
      <c r="I46">
        <v>0</v>
      </c>
      <c r="J46" t="s">
        <v>419</v>
      </c>
      <c r="K46">
        <v>0.9</v>
      </c>
      <c r="L46">
        <v>0.7</v>
      </c>
      <c r="M46">
        <v>58</v>
      </c>
      <c r="N46" s="2">
        <v>6805</v>
      </c>
    </row>
    <row r="47" spans="1:17" x14ac:dyDescent="0.25">
      <c r="A47" s="1">
        <v>45066</v>
      </c>
      <c r="B47" t="s">
        <v>181</v>
      </c>
      <c r="C47" t="s">
        <v>412</v>
      </c>
      <c r="D47" t="s">
        <v>114</v>
      </c>
      <c r="E47" t="s">
        <v>64</v>
      </c>
      <c r="F47" t="s">
        <v>43</v>
      </c>
      <c r="G47" t="s">
        <v>18</v>
      </c>
      <c r="H47">
        <v>2</v>
      </c>
      <c r="I47">
        <v>1</v>
      </c>
      <c r="J47" t="s">
        <v>427</v>
      </c>
      <c r="K47">
        <v>1.7</v>
      </c>
      <c r="L47">
        <v>0.7</v>
      </c>
      <c r="M47">
        <v>47</v>
      </c>
      <c r="N47" s="2">
        <v>47399</v>
      </c>
      <c r="Q47" s="1"/>
    </row>
    <row r="48" spans="1:17" x14ac:dyDescent="0.25">
      <c r="A48" s="1">
        <v>45073</v>
      </c>
      <c r="B48" t="s">
        <v>181</v>
      </c>
      <c r="C48" t="s">
        <v>412</v>
      </c>
      <c r="D48" t="s">
        <v>115</v>
      </c>
      <c r="E48" t="s">
        <v>64</v>
      </c>
      <c r="F48" t="s">
        <v>43</v>
      </c>
      <c r="G48" t="s">
        <v>18</v>
      </c>
      <c r="H48">
        <v>2</v>
      </c>
      <c r="I48">
        <v>1</v>
      </c>
      <c r="J48" t="s">
        <v>413</v>
      </c>
      <c r="K48">
        <v>2.1</v>
      </c>
      <c r="L48">
        <v>1</v>
      </c>
      <c r="M48">
        <v>65</v>
      </c>
      <c r="N48" s="2">
        <v>41136</v>
      </c>
      <c r="Q48" s="1"/>
    </row>
    <row r="49" spans="1:17" x14ac:dyDescent="0.25">
      <c r="A49" s="1">
        <v>45080</v>
      </c>
      <c r="B49" t="s">
        <v>181</v>
      </c>
      <c r="C49" t="s">
        <v>412</v>
      </c>
      <c r="D49" t="s">
        <v>116</v>
      </c>
      <c r="E49" t="s">
        <v>64</v>
      </c>
      <c r="F49" t="s">
        <v>44</v>
      </c>
      <c r="G49" t="s">
        <v>4</v>
      </c>
      <c r="H49">
        <v>1</v>
      </c>
      <c r="I49">
        <v>1</v>
      </c>
      <c r="J49" t="s">
        <v>420</v>
      </c>
      <c r="K49">
        <v>1.4</v>
      </c>
      <c r="L49">
        <v>0.4</v>
      </c>
      <c r="M49">
        <v>66</v>
      </c>
      <c r="N49" s="2">
        <v>11006</v>
      </c>
      <c r="Q49" s="1"/>
    </row>
    <row r="51" spans="1:17" x14ac:dyDescent="0.25">
      <c r="A51" t="s">
        <v>280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B38A-7CE1-4E74-899A-C0F01495BDF9}">
  <dimension ref="A1:Q59"/>
  <sheetViews>
    <sheetView workbookViewId="0">
      <selection activeCell="O1" sqref="O1:U1048576"/>
    </sheetView>
  </sheetViews>
  <sheetFormatPr defaultRowHeight="15" x14ac:dyDescent="0.25"/>
  <cols>
    <col min="1" max="1" width="11.28515625" customWidth="1"/>
  </cols>
  <sheetData>
    <row r="1" spans="1:17" x14ac:dyDescent="0.25">
      <c r="A1" t="s">
        <v>493</v>
      </c>
    </row>
    <row r="2" spans="1:17" x14ac:dyDescent="0.25">
      <c r="A2" t="s">
        <v>494</v>
      </c>
    </row>
    <row r="3" spans="1:17" x14ac:dyDescent="0.25">
      <c r="A3" t="s">
        <v>495</v>
      </c>
    </row>
    <row r="4" spans="1:17" x14ac:dyDescent="0.25">
      <c r="A4" t="s">
        <v>496</v>
      </c>
    </row>
    <row r="7" spans="1:17" x14ac:dyDescent="0.25">
      <c r="A7" t="s">
        <v>0</v>
      </c>
      <c r="B7" t="s">
        <v>1</v>
      </c>
      <c r="C7" t="s">
        <v>16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 t="s">
        <v>45</v>
      </c>
      <c r="K7" t="s">
        <v>55</v>
      </c>
      <c r="L7" t="s">
        <v>56</v>
      </c>
      <c r="M7" t="s">
        <v>57</v>
      </c>
      <c r="N7" t="s">
        <v>24</v>
      </c>
    </row>
    <row r="8" spans="1:17" x14ac:dyDescent="0.25">
      <c r="A8" s="1">
        <v>45149</v>
      </c>
      <c r="B8" t="s">
        <v>181</v>
      </c>
      <c r="C8" t="s">
        <v>412</v>
      </c>
      <c r="D8" t="s">
        <v>59</v>
      </c>
      <c r="E8" t="s">
        <v>60</v>
      </c>
      <c r="F8" t="s">
        <v>44</v>
      </c>
      <c r="G8" t="s">
        <v>4</v>
      </c>
      <c r="H8">
        <v>1</v>
      </c>
      <c r="I8">
        <v>1</v>
      </c>
      <c r="J8" t="s">
        <v>437</v>
      </c>
      <c r="K8">
        <v>1.3</v>
      </c>
      <c r="L8">
        <v>1.2</v>
      </c>
      <c r="M8">
        <v>60</v>
      </c>
      <c r="N8" s="2">
        <v>29436</v>
      </c>
      <c r="Q8" s="1"/>
    </row>
    <row r="9" spans="1:17" x14ac:dyDescent="0.25">
      <c r="A9" s="1">
        <v>45158</v>
      </c>
      <c r="B9" t="s">
        <v>154</v>
      </c>
      <c r="C9" t="s">
        <v>412</v>
      </c>
      <c r="D9" t="s">
        <v>61</v>
      </c>
      <c r="E9" t="s">
        <v>62</v>
      </c>
      <c r="F9" t="s">
        <v>43</v>
      </c>
      <c r="G9" t="s">
        <v>18</v>
      </c>
      <c r="H9">
        <v>2</v>
      </c>
      <c r="I9">
        <v>0</v>
      </c>
      <c r="J9" t="s">
        <v>413</v>
      </c>
      <c r="K9">
        <v>2.2000000000000002</v>
      </c>
      <c r="L9">
        <v>1.1000000000000001</v>
      </c>
      <c r="M9">
        <v>64</v>
      </c>
      <c r="N9" s="2">
        <v>34356</v>
      </c>
      <c r="Q9" s="1"/>
    </row>
    <row r="10" spans="1:17" x14ac:dyDescent="0.25">
      <c r="A10" s="1">
        <v>45162</v>
      </c>
      <c r="B10" t="s">
        <v>155</v>
      </c>
      <c r="C10" t="s">
        <v>309</v>
      </c>
      <c r="D10" t="s">
        <v>172</v>
      </c>
      <c r="E10" t="s">
        <v>85</v>
      </c>
      <c r="F10" t="s">
        <v>43</v>
      </c>
      <c r="G10" t="s">
        <v>18</v>
      </c>
      <c r="H10">
        <v>2</v>
      </c>
      <c r="I10">
        <v>1</v>
      </c>
      <c r="J10" t="s">
        <v>497</v>
      </c>
      <c r="N10" s="2">
        <v>22189</v>
      </c>
    </row>
    <row r="11" spans="1:17" x14ac:dyDescent="0.25">
      <c r="A11" s="1">
        <v>45165</v>
      </c>
      <c r="B11" t="s">
        <v>486</v>
      </c>
      <c r="C11" t="s">
        <v>412</v>
      </c>
      <c r="D11" t="s">
        <v>63</v>
      </c>
      <c r="E11" t="s">
        <v>62</v>
      </c>
      <c r="F11" t="s">
        <v>44</v>
      </c>
      <c r="G11" t="s">
        <v>19</v>
      </c>
      <c r="H11">
        <v>1</v>
      </c>
      <c r="I11">
        <v>4</v>
      </c>
      <c r="J11" t="s">
        <v>474</v>
      </c>
      <c r="K11">
        <v>1.1000000000000001</v>
      </c>
      <c r="L11">
        <v>1.6</v>
      </c>
      <c r="M11">
        <v>64</v>
      </c>
      <c r="N11" s="2">
        <v>15101</v>
      </c>
      <c r="Q11" s="1"/>
    </row>
    <row r="12" spans="1:17" x14ac:dyDescent="0.25">
      <c r="A12" s="1">
        <v>45169</v>
      </c>
      <c r="B12" t="s">
        <v>174</v>
      </c>
      <c r="C12" t="s">
        <v>309</v>
      </c>
      <c r="D12" t="s">
        <v>172</v>
      </c>
      <c r="E12" t="s">
        <v>85</v>
      </c>
      <c r="F12" t="s">
        <v>44</v>
      </c>
      <c r="G12" t="s">
        <v>4</v>
      </c>
      <c r="H12">
        <v>1</v>
      </c>
      <c r="I12">
        <v>1</v>
      </c>
      <c r="J12" t="s">
        <v>497</v>
      </c>
      <c r="N12" s="2">
        <v>7852</v>
      </c>
    </row>
    <row r="13" spans="1:17" x14ac:dyDescent="0.25">
      <c r="A13" s="1">
        <v>45172</v>
      </c>
      <c r="B13" t="s">
        <v>411</v>
      </c>
      <c r="C13" t="s">
        <v>412</v>
      </c>
      <c r="D13" t="s">
        <v>66</v>
      </c>
      <c r="E13" t="s">
        <v>62</v>
      </c>
      <c r="F13" t="s">
        <v>43</v>
      </c>
      <c r="G13" t="s">
        <v>18</v>
      </c>
      <c r="H13">
        <v>1</v>
      </c>
      <c r="I13">
        <v>0</v>
      </c>
      <c r="J13" t="s">
        <v>431</v>
      </c>
      <c r="K13">
        <v>1.2</v>
      </c>
      <c r="L13">
        <v>0.3</v>
      </c>
      <c r="M13">
        <v>58</v>
      </c>
      <c r="N13" s="2">
        <v>35298</v>
      </c>
      <c r="P13" s="1"/>
    </row>
    <row r="14" spans="1:17" x14ac:dyDescent="0.25">
      <c r="A14" s="1">
        <v>45185</v>
      </c>
      <c r="B14" t="s">
        <v>244</v>
      </c>
      <c r="C14" t="s">
        <v>412</v>
      </c>
      <c r="D14" t="s">
        <v>68</v>
      </c>
      <c r="E14" t="s">
        <v>64</v>
      </c>
      <c r="F14" t="s">
        <v>44</v>
      </c>
      <c r="G14" t="s">
        <v>4</v>
      </c>
      <c r="H14">
        <v>2</v>
      </c>
      <c r="I14">
        <v>2</v>
      </c>
      <c r="J14" t="s">
        <v>421</v>
      </c>
      <c r="K14">
        <v>1</v>
      </c>
      <c r="L14">
        <v>0.5</v>
      </c>
      <c r="M14">
        <v>53</v>
      </c>
      <c r="N14" s="2">
        <v>28178</v>
      </c>
      <c r="Q14" s="1"/>
    </row>
    <row r="15" spans="1:17" x14ac:dyDescent="0.25">
      <c r="A15" s="1">
        <v>45189</v>
      </c>
      <c r="B15" t="s">
        <v>498</v>
      </c>
      <c r="C15" t="s">
        <v>309</v>
      </c>
      <c r="D15" t="s">
        <v>119</v>
      </c>
      <c r="E15" t="s">
        <v>92</v>
      </c>
      <c r="F15" t="s">
        <v>43</v>
      </c>
      <c r="G15" t="s">
        <v>18</v>
      </c>
      <c r="H15">
        <v>2</v>
      </c>
      <c r="I15">
        <v>0</v>
      </c>
      <c r="J15" t="s">
        <v>499</v>
      </c>
      <c r="K15">
        <v>3.2</v>
      </c>
      <c r="L15">
        <v>0.3</v>
      </c>
      <c r="M15">
        <v>61</v>
      </c>
      <c r="N15" s="2">
        <v>13817</v>
      </c>
      <c r="Q15" s="1"/>
    </row>
    <row r="16" spans="1:17" x14ac:dyDescent="0.25">
      <c r="A16" s="1">
        <v>45195</v>
      </c>
      <c r="B16" t="s">
        <v>181</v>
      </c>
      <c r="C16" t="s">
        <v>412</v>
      </c>
      <c r="D16" t="s">
        <v>71</v>
      </c>
      <c r="E16" t="s">
        <v>69</v>
      </c>
      <c r="F16" t="s">
        <v>43</v>
      </c>
      <c r="G16" t="s">
        <v>19</v>
      </c>
      <c r="H16">
        <v>1</v>
      </c>
      <c r="I16">
        <v>2</v>
      </c>
      <c r="J16" t="s">
        <v>447</v>
      </c>
      <c r="K16">
        <v>1.2</v>
      </c>
      <c r="L16">
        <v>0.5</v>
      </c>
      <c r="M16">
        <v>69</v>
      </c>
      <c r="N16" s="2">
        <v>33075</v>
      </c>
      <c r="Q16" s="1"/>
    </row>
    <row r="17" spans="1:17" x14ac:dyDescent="0.25">
      <c r="A17" s="1">
        <v>45200</v>
      </c>
      <c r="B17" t="s">
        <v>411</v>
      </c>
      <c r="C17" t="s">
        <v>412</v>
      </c>
      <c r="D17" t="s">
        <v>72</v>
      </c>
      <c r="E17" t="s">
        <v>62</v>
      </c>
      <c r="F17" t="s">
        <v>44</v>
      </c>
      <c r="G17" t="s">
        <v>18</v>
      </c>
      <c r="H17">
        <v>2</v>
      </c>
      <c r="I17">
        <v>0</v>
      </c>
      <c r="J17" t="s">
        <v>500</v>
      </c>
      <c r="K17">
        <v>1.2</v>
      </c>
      <c r="L17">
        <v>0.8</v>
      </c>
      <c r="M17">
        <v>62</v>
      </c>
      <c r="N17" s="2">
        <v>21919</v>
      </c>
      <c r="Q17" s="1"/>
    </row>
    <row r="18" spans="1:17" x14ac:dyDescent="0.25">
      <c r="A18" s="1">
        <v>45204</v>
      </c>
      <c r="B18" t="s">
        <v>330</v>
      </c>
      <c r="C18" t="s">
        <v>309</v>
      </c>
      <c r="D18" t="s">
        <v>119</v>
      </c>
      <c r="E18" t="s">
        <v>85</v>
      </c>
      <c r="F18" t="s">
        <v>44</v>
      </c>
      <c r="G18" t="s">
        <v>4</v>
      </c>
      <c r="H18">
        <v>0</v>
      </c>
      <c r="I18">
        <v>0</v>
      </c>
      <c r="J18" t="s">
        <v>501</v>
      </c>
      <c r="K18">
        <v>0.7</v>
      </c>
      <c r="L18">
        <v>0.1</v>
      </c>
      <c r="M18">
        <v>69</v>
      </c>
      <c r="N18" s="2">
        <v>2191</v>
      </c>
      <c r="Q18" s="1"/>
    </row>
    <row r="19" spans="1:17" x14ac:dyDescent="0.25">
      <c r="A19" s="1">
        <v>45207</v>
      </c>
      <c r="B19" t="s">
        <v>486</v>
      </c>
      <c r="C19" t="s">
        <v>412</v>
      </c>
      <c r="D19" t="s">
        <v>74</v>
      </c>
      <c r="E19" t="s">
        <v>62</v>
      </c>
      <c r="F19" t="s">
        <v>44</v>
      </c>
      <c r="G19" t="s">
        <v>4</v>
      </c>
      <c r="H19">
        <v>1</v>
      </c>
      <c r="I19">
        <v>1</v>
      </c>
      <c r="J19" t="s">
        <v>470</v>
      </c>
      <c r="K19">
        <v>1.7</v>
      </c>
      <c r="L19">
        <v>2</v>
      </c>
      <c r="M19">
        <v>55</v>
      </c>
      <c r="N19" s="2">
        <v>37223</v>
      </c>
      <c r="Q19" s="1"/>
    </row>
    <row r="20" spans="1:17" x14ac:dyDescent="0.25">
      <c r="A20" s="1">
        <v>45221</v>
      </c>
      <c r="B20" t="s">
        <v>411</v>
      </c>
      <c r="C20" t="s">
        <v>412</v>
      </c>
      <c r="D20" t="s">
        <v>75</v>
      </c>
      <c r="E20" t="s">
        <v>62</v>
      </c>
      <c r="F20" t="s">
        <v>43</v>
      </c>
      <c r="G20" t="s">
        <v>18</v>
      </c>
      <c r="H20">
        <v>1</v>
      </c>
      <c r="I20">
        <v>0</v>
      </c>
      <c r="J20" t="s">
        <v>459</v>
      </c>
      <c r="K20">
        <v>1.6</v>
      </c>
      <c r="L20">
        <v>0.8</v>
      </c>
      <c r="M20">
        <v>43</v>
      </c>
      <c r="N20" s="2">
        <v>34358</v>
      </c>
      <c r="Q20" s="1"/>
    </row>
    <row r="21" spans="1:17" x14ac:dyDescent="0.25">
      <c r="A21" s="1">
        <v>45225</v>
      </c>
      <c r="B21" t="s">
        <v>251</v>
      </c>
      <c r="C21" t="s">
        <v>309</v>
      </c>
      <c r="D21" t="s">
        <v>119</v>
      </c>
      <c r="E21" t="s">
        <v>85</v>
      </c>
      <c r="F21" t="s">
        <v>43</v>
      </c>
      <c r="G21" t="s">
        <v>18</v>
      </c>
      <c r="H21">
        <v>2</v>
      </c>
      <c r="I21">
        <v>1</v>
      </c>
      <c r="J21" t="s">
        <v>502</v>
      </c>
      <c r="K21">
        <v>2.1</v>
      </c>
      <c r="L21">
        <v>1.3</v>
      </c>
      <c r="M21">
        <v>65</v>
      </c>
      <c r="N21" s="2">
        <v>19610</v>
      </c>
      <c r="Q21" s="1"/>
    </row>
    <row r="22" spans="1:17" x14ac:dyDescent="0.25">
      <c r="A22" s="1">
        <v>45228</v>
      </c>
      <c r="B22" t="s">
        <v>452</v>
      </c>
      <c r="C22" t="s">
        <v>412</v>
      </c>
      <c r="D22" t="s">
        <v>79</v>
      </c>
      <c r="E22" t="s">
        <v>62</v>
      </c>
      <c r="F22" t="s">
        <v>43</v>
      </c>
      <c r="G22" t="s">
        <v>18</v>
      </c>
      <c r="H22">
        <v>2</v>
      </c>
      <c r="I22">
        <v>0</v>
      </c>
      <c r="J22" t="s">
        <v>419</v>
      </c>
      <c r="K22">
        <v>0.5</v>
      </c>
      <c r="L22">
        <v>0.6</v>
      </c>
      <c r="M22">
        <v>41</v>
      </c>
      <c r="N22" s="2">
        <v>40046</v>
      </c>
    </row>
    <row r="23" spans="1:17" x14ac:dyDescent="0.25">
      <c r="A23" s="1">
        <v>45234</v>
      </c>
      <c r="B23" t="s">
        <v>198</v>
      </c>
      <c r="C23" t="s">
        <v>412</v>
      </c>
      <c r="D23" t="s">
        <v>81</v>
      </c>
      <c r="E23" t="s">
        <v>64</v>
      </c>
      <c r="F23" t="s">
        <v>44</v>
      </c>
      <c r="G23" t="s">
        <v>4</v>
      </c>
      <c r="H23">
        <v>0</v>
      </c>
      <c r="I23">
        <v>0</v>
      </c>
      <c r="J23" t="s">
        <v>427</v>
      </c>
      <c r="K23">
        <v>0.3</v>
      </c>
      <c r="L23">
        <v>0.8</v>
      </c>
      <c r="M23">
        <v>54</v>
      </c>
      <c r="N23" s="2">
        <v>63674</v>
      </c>
      <c r="Q23" s="1"/>
    </row>
    <row r="24" spans="1:17" x14ac:dyDescent="0.25">
      <c r="A24" s="1">
        <v>45239</v>
      </c>
      <c r="B24" t="s">
        <v>181</v>
      </c>
      <c r="C24" t="s">
        <v>309</v>
      </c>
      <c r="D24" t="s">
        <v>119</v>
      </c>
      <c r="E24" t="s">
        <v>85</v>
      </c>
      <c r="F24" t="s">
        <v>44</v>
      </c>
      <c r="G24" t="s">
        <v>4</v>
      </c>
      <c r="H24">
        <v>1</v>
      </c>
      <c r="I24">
        <v>1</v>
      </c>
      <c r="J24" t="s">
        <v>502</v>
      </c>
      <c r="K24">
        <v>1.1000000000000001</v>
      </c>
      <c r="L24">
        <v>1.1000000000000001</v>
      </c>
      <c r="M24">
        <v>70</v>
      </c>
      <c r="N24" s="2">
        <v>21544</v>
      </c>
      <c r="Q24" s="1"/>
    </row>
    <row r="25" spans="1:17" x14ac:dyDescent="0.25">
      <c r="A25" s="1">
        <v>45242</v>
      </c>
      <c r="B25" t="s">
        <v>411</v>
      </c>
      <c r="C25" t="s">
        <v>412</v>
      </c>
      <c r="D25" t="s">
        <v>83</v>
      </c>
      <c r="E25" t="s">
        <v>62</v>
      </c>
      <c r="F25" t="s">
        <v>43</v>
      </c>
      <c r="G25" t="s">
        <v>4</v>
      </c>
      <c r="H25">
        <v>1</v>
      </c>
      <c r="I25">
        <v>1</v>
      </c>
      <c r="J25" t="s">
        <v>433</v>
      </c>
      <c r="K25">
        <v>2.5</v>
      </c>
      <c r="L25">
        <v>0.1</v>
      </c>
      <c r="M25">
        <v>60</v>
      </c>
      <c r="N25" s="2">
        <v>34959</v>
      </c>
    </row>
    <row r="26" spans="1:17" x14ac:dyDescent="0.25">
      <c r="A26" s="1">
        <v>45256</v>
      </c>
      <c r="B26" t="s">
        <v>156</v>
      </c>
      <c r="C26" t="s">
        <v>412</v>
      </c>
      <c r="D26" t="s">
        <v>84</v>
      </c>
      <c r="E26" t="s">
        <v>62</v>
      </c>
      <c r="F26" t="s">
        <v>44</v>
      </c>
      <c r="G26" t="s">
        <v>18</v>
      </c>
      <c r="H26">
        <v>2</v>
      </c>
      <c r="I26">
        <v>0</v>
      </c>
      <c r="J26" t="s">
        <v>432</v>
      </c>
      <c r="K26">
        <v>1.5</v>
      </c>
      <c r="L26">
        <v>1.9</v>
      </c>
      <c r="M26">
        <v>52</v>
      </c>
      <c r="N26" s="2">
        <v>40029</v>
      </c>
      <c r="Q26" s="1"/>
    </row>
    <row r="27" spans="1:17" x14ac:dyDescent="0.25">
      <c r="A27" s="1">
        <v>45260</v>
      </c>
      <c r="B27" t="s">
        <v>251</v>
      </c>
      <c r="C27" t="s">
        <v>309</v>
      </c>
      <c r="D27" t="s">
        <v>119</v>
      </c>
      <c r="E27" t="s">
        <v>85</v>
      </c>
      <c r="F27" t="s">
        <v>44</v>
      </c>
      <c r="G27" t="s">
        <v>18</v>
      </c>
      <c r="H27">
        <v>2</v>
      </c>
      <c r="I27">
        <v>0</v>
      </c>
      <c r="J27" t="s">
        <v>499</v>
      </c>
      <c r="K27">
        <v>2</v>
      </c>
      <c r="L27">
        <v>0.9</v>
      </c>
      <c r="M27">
        <v>49</v>
      </c>
      <c r="N27" s="2">
        <v>4053</v>
      </c>
      <c r="Q27" s="1"/>
    </row>
    <row r="28" spans="1:17" x14ac:dyDescent="0.25">
      <c r="A28" s="1">
        <v>45263</v>
      </c>
      <c r="B28" t="s">
        <v>486</v>
      </c>
      <c r="C28" t="s">
        <v>412</v>
      </c>
      <c r="D28" t="s">
        <v>86</v>
      </c>
      <c r="E28" t="s">
        <v>62</v>
      </c>
      <c r="F28" t="s">
        <v>43</v>
      </c>
      <c r="G28" t="s">
        <v>18</v>
      </c>
      <c r="H28">
        <v>2</v>
      </c>
      <c r="I28">
        <v>0</v>
      </c>
      <c r="J28" t="s">
        <v>428</v>
      </c>
      <c r="K28">
        <v>2.9</v>
      </c>
      <c r="L28">
        <v>1.9</v>
      </c>
      <c r="M28">
        <v>65</v>
      </c>
      <c r="N28" s="2">
        <v>38065</v>
      </c>
    </row>
    <row r="29" spans="1:17" x14ac:dyDescent="0.25">
      <c r="A29" s="1">
        <v>45270</v>
      </c>
      <c r="B29" t="s">
        <v>411</v>
      </c>
      <c r="C29" t="s">
        <v>412</v>
      </c>
      <c r="D29" t="s">
        <v>87</v>
      </c>
      <c r="E29" t="s">
        <v>62</v>
      </c>
      <c r="F29" t="s">
        <v>44</v>
      </c>
      <c r="G29" t="s">
        <v>4</v>
      </c>
      <c r="H29">
        <v>0</v>
      </c>
      <c r="I29">
        <v>0</v>
      </c>
      <c r="J29" t="s">
        <v>483</v>
      </c>
      <c r="K29">
        <v>1</v>
      </c>
      <c r="L29">
        <v>1.3</v>
      </c>
      <c r="M29">
        <v>53</v>
      </c>
      <c r="N29" s="2">
        <v>8789</v>
      </c>
      <c r="Q29" s="1"/>
    </row>
    <row r="30" spans="1:17" x14ac:dyDescent="0.25">
      <c r="A30" s="1">
        <v>45274</v>
      </c>
      <c r="B30" t="s">
        <v>181</v>
      </c>
      <c r="C30" t="s">
        <v>309</v>
      </c>
      <c r="D30" t="s">
        <v>119</v>
      </c>
      <c r="E30" t="s">
        <v>85</v>
      </c>
      <c r="F30" t="s">
        <v>43</v>
      </c>
      <c r="G30" t="s">
        <v>18</v>
      </c>
      <c r="H30">
        <v>3</v>
      </c>
      <c r="I30">
        <v>0</v>
      </c>
      <c r="J30" t="s">
        <v>501</v>
      </c>
      <c r="K30">
        <v>3.6</v>
      </c>
      <c r="L30">
        <v>0.8</v>
      </c>
      <c r="M30">
        <v>67</v>
      </c>
      <c r="N30" s="2">
        <v>20061</v>
      </c>
      <c r="Q30" s="1"/>
    </row>
    <row r="31" spans="1:17" x14ac:dyDescent="0.25">
      <c r="A31" s="1">
        <v>45277</v>
      </c>
      <c r="B31" t="s">
        <v>156</v>
      </c>
      <c r="C31" t="s">
        <v>412</v>
      </c>
      <c r="D31" t="s">
        <v>88</v>
      </c>
      <c r="E31" t="s">
        <v>62</v>
      </c>
      <c r="F31" t="s">
        <v>43</v>
      </c>
      <c r="G31" t="s">
        <v>4</v>
      </c>
      <c r="H31">
        <v>1</v>
      </c>
      <c r="I31">
        <v>1</v>
      </c>
      <c r="J31" t="s">
        <v>434</v>
      </c>
      <c r="K31">
        <v>1.4</v>
      </c>
      <c r="L31">
        <v>1.4</v>
      </c>
      <c r="M31">
        <v>41</v>
      </c>
      <c r="N31" s="2">
        <v>47993</v>
      </c>
      <c r="Q31" s="1"/>
    </row>
    <row r="32" spans="1:17" x14ac:dyDescent="0.25">
      <c r="A32" s="1">
        <v>45280</v>
      </c>
      <c r="B32" t="s">
        <v>181</v>
      </c>
      <c r="C32" t="s">
        <v>412</v>
      </c>
      <c r="D32" t="s">
        <v>90</v>
      </c>
      <c r="E32" t="s">
        <v>92</v>
      </c>
      <c r="F32" t="s">
        <v>44</v>
      </c>
      <c r="G32" t="s">
        <v>19</v>
      </c>
      <c r="H32">
        <v>1</v>
      </c>
      <c r="I32">
        <v>2</v>
      </c>
      <c r="J32" t="s">
        <v>414</v>
      </c>
      <c r="K32">
        <v>0.5</v>
      </c>
      <c r="L32">
        <v>0.8</v>
      </c>
      <c r="M32">
        <v>68</v>
      </c>
      <c r="N32" s="2">
        <v>25373</v>
      </c>
    </row>
    <row r="33" spans="1:17" x14ac:dyDescent="0.25">
      <c r="A33" s="1">
        <v>45297</v>
      </c>
      <c r="B33" t="s">
        <v>303</v>
      </c>
      <c r="C33" t="s">
        <v>440</v>
      </c>
      <c r="D33" t="s">
        <v>305</v>
      </c>
      <c r="E33" t="s">
        <v>64</v>
      </c>
      <c r="F33" t="s">
        <v>43</v>
      </c>
      <c r="G33" t="s">
        <v>18</v>
      </c>
      <c r="H33">
        <v>12</v>
      </c>
      <c r="I33">
        <v>0</v>
      </c>
      <c r="J33" t="s">
        <v>503</v>
      </c>
      <c r="M33">
        <v>68</v>
      </c>
      <c r="N33" s="2">
        <v>13060</v>
      </c>
      <c r="Q33" s="1"/>
    </row>
    <row r="34" spans="1:17" x14ac:dyDescent="0.25">
      <c r="A34" s="1">
        <v>45305</v>
      </c>
      <c r="B34" t="s">
        <v>154</v>
      </c>
      <c r="C34" t="s">
        <v>412</v>
      </c>
      <c r="D34" t="s">
        <v>93</v>
      </c>
      <c r="E34" t="s">
        <v>62</v>
      </c>
      <c r="F34" t="s">
        <v>43</v>
      </c>
      <c r="G34" t="s">
        <v>18</v>
      </c>
      <c r="H34">
        <v>3</v>
      </c>
      <c r="I34">
        <v>0</v>
      </c>
      <c r="J34" t="s">
        <v>474</v>
      </c>
      <c r="K34">
        <v>2.2999999999999998</v>
      </c>
      <c r="L34">
        <v>0.1</v>
      </c>
      <c r="M34">
        <v>62</v>
      </c>
      <c r="N34" s="2">
        <v>35204</v>
      </c>
      <c r="Q34" s="1"/>
    </row>
    <row r="35" spans="1:17" x14ac:dyDescent="0.25">
      <c r="A35" s="1">
        <v>45312</v>
      </c>
      <c r="B35" t="s">
        <v>243</v>
      </c>
      <c r="C35" t="s">
        <v>440</v>
      </c>
      <c r="D35" t="s">
        <v>77</v>
      </c>
      <c r="E35" t="s">
        <v>62</v>
      </c>
      <c r="F35" t="s">
        <v>44</v>
      </c>
      <c r="G35" t="s">
        <v>18</v>
      </c>
      <c r="H35">
        <v>1</v>
      </c>
      <c r="I35">
        <v>0</v>
      </c>
      <c r="J35" t="s">
        <v>504</v>
      </c>
      <c r="M35">
        <v>66</v>
      </c>
      <c r="N35" s="2">
        <v>2517</v>
      </c>
      <c r="Q35" s="1"/>
    </row>
    <row r="36" spans="1:17" x14ac:dyDescent="0.25">
      <c r="A36" s="1">
        <v>45319</v>
      </c>
      <c r="B36" t="s">
        <v>154</v>
      </c>
      <c r="C36" t="s">
        <v>412</v>
      </c>
      <c r="D36" t="s">
        <v>94</v>
      </c>
      <c r="E36" t="s">
        <v>62</v>
      </c>
      <c r="F36" t="s">
        <v>44</v>
      </c>
      <c r="G36" t="s">
        <v>4</v>
      </c>
      <c r="H36">
        <v>0</v>
      </c>
      <c r="I36">
        <v>0</v>
      </c>
      <c r="J36" t="s">
        <v>431</v>
      </c>
      <c r="K36">
        <v>0.5</v>
      </c>
      <c r="L36">
        <v>0.7</v>
      </c>
      <c r="M36">
        <v>61</v>
      </c>
      <c r="N36" s="2">
        <v>12575</v>
      </c>
      <c r="Q36" s="1"/>
    </row>
    <row r="37" spans="1:17" x14ac:dyDescent="0.25">
      <c r="A37" s="1">
        <v>45326</v>
      </c>
      <c r="B37" t="s">
        <v>411</v>
      </c>
      <c r="C37" t="s">
        <v>412</v>
      </c>
      <c r="D37" t="s">
        <v>97</v>
      </c>
      <c r="E37" t="s">
        <v>62</v>
      </c>
      <c r="F37" t="s">
        <v>43</v>
      </c>
      <c r="G37" t="s">
        <v>18</v>
      </c>
      <c r="H37">
        <v>4</v>
      </c>
      <c r="I37">
        <v>0</v>
      </c>
      <c r="J37" t="s">
        <v>483</v>
      </c>
      <c r="K37">
        <v>2.9</v>
      </c>
      <c r="L37">
        <v>0.4</v>
      </c>
      <c r="M37">
        <v>60</v>
      </c>
      <c r="N37" s="2">
        <v>38597</v>
      </c>
      <c r="Q37" s="1"/>
    </row>
    <row r="38" spans="1:17" x14ac:dyDescent="0.25">
      <c r="A38" t="s">
        <v>0</v>
      </c>
      <c r="B38" t="s">
        <v>1</v>
      </c>
      <c r="C38" t="s">
        <v>16</v>
      </c>
      <c r="D38" t="s">
        <v>51</v>
      </c>
      <c r="E38" t="s">
        <v>52</v>
      </c>
      <c r="F38" t="s">
        <v>53</v>
      </c>
      <c r="G38" t="s">
        <v>54</v>
      </c>
      <c r="H38" t="s">
        <v>20</v>
      </c>
      <c r="I38" t="s">
        <v>21</v>
      </c>
      <c r="J38" t="s">
        <v>45</v>
      </c>
      <c r="K38" t="s">
        <v>55</v>
      </c>
      <c r="L38" t="s">
        <v>56</v>
      </c>
      <c r="M38" t="s">
        <v>57</v>
      </c>
      <c r="N38" t="s">
        <v>24</v>
      </c>
    </row>
    <row r="39" spans="1:17" x14ac:dyDescent="0.25">
      <c r="A39" s="1">
        <v>45329</v>
      </c>
      <c r="B39" t="s">
        <v>157</v>
      </c>
      <c r="C39" t="s">
        <v>440</v>
      </c>
      <c r="D39" t="s">
        <v>91</v>
      </c>
      <c r="E39" t="s">
        <v>92</v>
      </c>
      <c r="F39" t="s">
        <v>44</v>
      </c>
      <c r="G39" t="s">
        <v>19</v>
      </c>
      <c r="H39">
        <v>1</v>
      </c>
      <c r="I39">
        <v>2</v>
      </c>
      <c r="J39" t="s">
        <v>432</v>
      </c>
      <c r="M39">
        <v>58</v>
      </c>
      <c r="N39" s="2">
        <v>29085</v>
      </c>
      <c r="Q39" s="1"/>
    </row>
    <row r="40" spans="1:17" x14ac:dyDescent="0.25">
      <c r="A40" s="1">
        <v>45332</v>
      </c>
      <c r="B40" t="s">
        <v>181</v>
      </c>
      <c r="C40" t="s">
        <v>412</v>
      </c>
      <c r="D40" t="s">
        <v>98</v>
      </c>
      <c r="E40" t="s">
        <v>64</v>
      </c>
      <c r="F40" t="s">
        <v>44</v>
      </c>
      <c r="G40" t="s">
        <v>19</v>
      </c>
      <c r="H40">
        <v>1</v>
      </c>
      <c r="I40">
        <v>3</v>
      </c>
      <c r="J40" t="s">
        <v>434</v>
      </c>
      <c r="K40">
        <v>1.2</v>
      </c>
      <c r="L40">
        <v>2.8</v>
      </c>
      <c r="M40">
        <v>48</v>
      </c>
      <c r="N40" s="2">
        <v>47000</v>
      </c>
    </row>
    <row r="41" spans="1:17" x14ac:dyDescent="0.25">
      <c r="A41" s="1">
        <v>45339</v>
      </c>
      <c r="B41" t="s">
        <v>244</v>
      </c>
      <c r="C41" t="s">
        <v>412</v>
      </c>
      <c r="D41" t="s">
        <v>100</v>
      </c>
      <c r="E41" t="s">
        <v>64</v>
      </c>
      <c r="F41" t="s">
        <v>43</v>
      </c>
      <c r="G41" t="s">
        <v>18</v>
      </c>
      <c r="H41">
        <v>3</v>
      </c>
      <c r="I41">
        <v>0</v>
      </c>
      <c r="J41" t="s">
        <v>500</v>
      </c>
      <c r="K41">
        <v>3.8</v>
      </c>
      <c r="L41">
        <v>0.6</v>
      </c>
      <c r="M41">
        <v>61</v>
      </c>
      <c r="N41" s="2">
        <v>40317</v>
      </c>
    </row>
    <row r="42" spans="1:17" x14ac:dyDescent="0.25">
      <c r="A42" s="1">
        <v>45347</v>
      </c>
      <c r="B42" t="s">
        <v>411</v>
      </c>
      <c r="C42" t="s">
        <v>412</v>
      </c>
      <c r="D42" t="s">
        <v>101</v>
      </c>
      <c r="E42" t="s">
        <v>62</v>
      </c>
      <c r="F42" t="s">
        <v>44</v>
      </c>
      <c r="G42" t="s">
        <v>19</v>
      </c>
      <c r="H42">
        <v>1</v>
      </c>
      <c r="I42">
        <v>3</v>
      </c>
      <c r="J42" t="s">
        <v>433</v>
      </c>
      <c r="K42">
        <v>0.6</v>
      </c>
      <c r="L42">
        <v>2.1</v>
      </c>
      <c r="M42">
        <v>68</v>
      </c>
      <c r="N42" s="2">
        <v>24124</v>
      </c>
    </row>
    <row r="43" spans="1:17" x14ac:dyDescent="0.25">
      <c r="A43" s="1">
        <v>45353</v>
      </c>
      <c r="B43" t="s">
        <v>244</v>
      </c>
      <c r="C43" t="s">
        <v>412</v>
      </c>
      <c r="D43" t="s">
        <v>102</v>
      </c>
      <c r="E43" t="s">
        <v>64</v>
      </c>
      <c r="F43" t="s">
        <v>44</v>
      </c>
      <c r="G43" t="s">
        <v>18</v>
      </c>
      <c r="H43">
        <v>1</v>
      </c>
      <c r="I43">
        <v>0</v>
      </c>
      <c r="J43" t="s">
        <v>447</v>
      </c>
      <c r="K43">
        <v>1.1000000000000001</v>
      </c>
      <c r="L43">
        <v>0.6</v>
      </c>
      <c r="M43">
        <v>43</v>
      </c>
      <c r="N43" s="2">
        <v>16452</v>
      </c>
      <c r="P43" s="1"/>
      <c r="Q43" s="1"/>
    </row>
    <row r="44" spans="1:17" x14ac:dyDescent="0.25">
      <c r="A44" s="1">
        <v>45358</v>
      </c>
      <c r="B44" t="s">
        <v>251</v>
      </c>
      <c r="C44" t="s">
        <v>309</v>
      </c>
      <c r="D44" t="s">
        <v>91</v>
      </c>
      <c r="E44" t="s">
        <v>85</v>
      </c>
      <c r="F44" t="s">
        <v>44</v>
      </c>
      <c r="G44" t="s">
        <v>18</v>
      </c>
      <c r="H44">
        <v>3</v>
      </c>
      <c r="I44">
        <v>0</v>
      </c>
      <c r="J44" t="s">
        <v>505</v>
      </c>
      <c r="K44">
        <v>2.9</v>
      </c>
      <c r="L44">
        <v>1</v>
      </c>
      <c r="M44">
        <v>67</v>
      </c>
      <c r="N44" s="2">
        <v>13825</v>
      </c>
      <c r="P44" s="1"/>
    </row>
    <row r="45" spans="1:17" x14ac:dyDescent="0.25">
      <c r="A45" s="1">
        <v>45361</v>
      </c>
      <c r="B45" t="s">
        <v>476</v>
      </c>
      <c r="C45" t="s">
        <v>412</v>
      </c>
      <c r="D45" t="s">
        <v>103</v>
      </c>
      <c r="E45" t="s">
        <v>62</v>
      </c>
      <c r="F45" t="s">
        <v>43</v>
      </c>
      <c r="G45" t="s">
        <v>4</v>
      </c>
      <c r="H45">
        <v>2</v>
      </c>
      <c r="I45">
        <v>2</v>
      </c>
      <c r="J45" t="s">
        <v>421</v>
      </c>
      <c r="K45">
        <v>2.4</v>
      </c>
      <c r="L45">
        <v>1.1000000000000001</v>
      </c>
      <c r="M45">
        <v>60</v>
      </c>
      <c r="N45" s="2">
        <v>40383</v>
      </c>
      <c r="P45" s="1"/>
    </row>
    <row r="46" spans="1:17" x14ac:dyDescent="0.25">
      <c r="A46" s="1">
        <v>45365</v>
      </c>
      <c r="B46" t="s">
        <v>198</v>
      </c>
      <c r="C46" t="s">
        <v>309</v>
      </c>
      <c r="D46" t="s">
        <v>91</v>
      </c>
      <c r="E46" t="s">
        <v>85</v>
      </c>
      <c r="F46" t="s">
        <v>43</v>
      </c>
      <c r="G46" t="s">
        <v>4</v>
      </c>
      <c r="H46">
        <v>1</v>
      </c>
      <c r="I46">
        <v>1</v>
      </c>
      <c r="J46" t="s">
        <v>505</v>
      </c>
      <c r="K46">
        <v>1.7</v>
      </c>
      <c r="L46">
        <v>1.3</v>
      </c>
      <c r="M46">
        <v>63</v>
      </c>
      <c r="N46" s="2">
        <v>17888</v>
      </c>
      <c r="P46" s="1"/>
    </row>
    <row r="47" spans="1:17" x14ac:dyDescent="0.25">
      <c r="A47" s="1">
        <v>45368</v>
      </c>
      <c r="B47" t="s">
        <v>159</v>
      </c>
      <c r="C47" t="s">
        <v>412</v>
      </c>
      <c r="D47" t="s">
        <v>104</v>
      </c>
      <c r="E47" t="s">
        <v>62</v>
      </c>
      <c r="F47" t="s">
        <v>44</v>
      </c>
      <c r="G47" t="s">
        <v>4</v>
      </c>
      <c r="H47">
        <v>1</v>
      </c>
      <c r="I47">
        <v>1</v>
      </c>
      <c r="J47" t="s">
        <v>459</v>
      </c>
      <c r="K47">
        <v>0.8</v>
      </c>
      <c r="L47">
        <v>1</v>
      </c>
      <c r="M47">
        <v>49</v>
      </c>
      <c r="N47" s="2">
        <v>14774</v>
      </c>
      <c r="P47" s="1"/>
    </row>
    <row r="48" spans="1:17" x14ac:dyDescent="0.25">
      <c r="A48" s="1">
        <v>45380</v>
      </c>
      <c r="B48" t="s">
        <v>198</v>
      </c>
      <c r="C48" t="s">
        <v>412</v>
      </c>
      <c r="D48" t="s">
        <v>105</v>
      </c>
      <c r="E48" t="s">
        <v>60</v>
      </c>
      <c r="F48" t="s">
        <v>43</v>
      </c>
      <c r="G48" t="s">
        <v>18</v>
      </c>
      <c r="H48">
        <v>2</v>
      </c>
      <c r="I48">
        <v>1</v>
      </c>
      <c r="J48" t="s">
        <v>470</v>
      </c>
      <c r="K48">
        <v>1.6</v>
      </c>
      <c r="L48">
        <v>0.6</v>
      </c>
      <c r="M48">
        <v>49</v>
      </c>
      <c r="N48" s="2">
        <v>48233</v>
      </c>
      <c r="P48" s="1"/>
    </row>
    <row r="49" spans="1:17" x14ac:dyDescent="0.25">
      <c r="A49" s="1">
        <v>45387</v>
      </c>
      <c r="B49" t="s">
        <v>181</v>
      </c>
      <c r="C49" t="s">
        <v>412</v>
      </c>
      <c r="D49" t="s">
        <v>106</v>
      </c>
      <c r="E49" t="s">
        <v>60</v>
      </c>
      <c r="F49" t="s">
        <v>43</v>
      </c>
      <c r="G49" t="s">
        <v>18</v>
      </c>
      <c r="H49">
        <v>3</v>
      </c>
      <c r="I49">
        <v>1</v>
      </c>
      <c r="J49" t="s">
        <v>427</v>
      </c>
      <c r="K49">
        <v>1.8</v>
      </c>
      <c r="L49">
        <v>1.2</v>
      </c>
      <c r="M49">
        <v>53</v>
      </c>
      <c r="N49" s="2">
        <v>46864</v>
      </c>
      <c r="P49" s="1"/>
      <c r="Q49" s="1"/>
    </row>
    <row r="50" spans="1:17" x14ac:dyDescent="0.25">
      <c r="A50" s="1">
        <v>45393</v>
      </c>
      <c r="B50" t="s">
        <v>161</v>
      </c>
      <c r="C50" t="s">
        <v>309</v>
      </c>
      <c r="D50" t="s">
        <v>96</v>
      </c>
      <c r="E50" t="s">
        <v>85</v>
      </c>
      <c r="F50" t="s">
        <v>44</v>
      </c>
      <c r="G50" t="s">
        <v>19</v>
      </c>
      <c r="H50">
        <v>1</v>
      </c>
      <c r="I50">
        <v>2</v>
      </c>
      <c r="J50" t="s">
        <v>506</v>
      </c>
      <c r="K50">
        <v>1.5</v>
      </c>
      <c r="L50">
        <v>1.1000000000000001</v>
      </c>
      <c r="M50">
        <v>58</v>
      </c>
      <c r="N50" s="2">
        <v>37220</v>
      </c>
    </row>
    <row r="51" spans="1:17" x14ac:dyDescent="0.25">
      <c r="A51" s="1">
        <v>45400</v>
      </c>
      <c r="B51" t="s">
        <v>251</v>
      </c>
      <c r="C51" t="s">
        <v>309</v>
      </c>
      <c r="D51" t="s">
        <v>96</v>
      </c>
      <c r="E51" t="s">
        <v>85</v>
      </c>
      <c r="F51" t="s">
        <v>43</v>
      </c>
      <c r="G51" t="s">
        <v>18</v>
      </c>
      <c r="H51" t="s">
        <v>464</v>
      </c>
      <c r="I51" t="s">
        <v>278</v>
      </c>
      <c r="J51" t="s">
        <v>506</v>
      </c>
      <c r="K51">
        <v>1.4</v>
      </c>
      <c r="L51">
        <v>1.2</v>
      </c>
      <c r="M51">
        <v>52</v>
      </c>
      <c r="N51" s="2">
        <v>47093</v>
      </c>
      <c r="Q51" s="1"/>
    </row>
    <row r="52" spans="1:17" x14ac:dyDescent="0.25">
      <c r="A52" s="1">
        <v>45403</v>
      </c>
      <c r="B52" t="s">
        <v>411</v>
      </c>
      <c r="C52" t="s">
        <v>412</v>
      </c>
      <c r="D52" t="s">
        <v>108</v>
      </c>
      <c r="E52" t="s">
        <v>62</v>
      </c>
      <c r="F52" t="s">
        <v>43</v>
      </c>
      <c r="G52" t="s">
        <v>18</v>
      </c>
      <c r="H52">
        <v>1</v>
      </c>
      <c r="I52">
        <v>0</v>
      </c>
      <c r="J52" t="s">
        <v>414</v>
      </c>
      <c r="K52">
        <v>0.8</v>
      </c>
      <c r="L52">
        <v>1.3</v>
      </c>
      <c r="M52">
        <v>53</v>
      </c>
      <c r="N52" s="2">
        <v>40381</v>
      </c>
      <c r="Q52" s="1"/>
    </row>
    <row r="53" spans="1:17" x14ac:dyDescent="0.25">
      <c r="A53" s="1">
        <v>45406</v>
      </c>
      <c r="B53" t="s">
        <v>181</v>
      </c>
      <c r="C53" t="s">
        <v>412</v>
      </c>
      <c r="D53" t="s">
        <v>107</v>
      </c>
      <c r="E53" t="s">
        <v>92</v>
      </c>
      <c r="F53" t="s">
        <v>44</v>
      </c>
      <c r="G53" t="s">
        <v>19</v>
      </c>
      <c r="H53">
        <v>0</v>
      </c>
      <c r="I53">
        <v>1</v>
      </c>
      <c r="J53" t="s">
        <v>419</v>
      </c>
      <c r="K53">
        <v>1.3</v>
      </c>
      <c r="L53">
        <v>1.6</v>
      </c>
      <c r="M53">
        <v>57</v>
      </c>
      <c r="N53" s="2">
        <v>9000</v>
      </c>
      <c r="P53" s="1"/>
      <c r="Q53" s="1"/>
    </row>
    <row r="54" spans="1:17" x14ac:dyDescent="0.25">
      <c r="A54" s="1">
        <v>45410</v>
      </c>
      <c r="B54" t="s">
        <v>154</v>
      </c>
      <c r="C54" t="s">
        <v>412</v>
      </c>
      <c r="D54" t="s">
        <v>109</v>
      </c>
      <c r="E54" t="s">
        <v>62</v>
      </c>
      <c r="F54" t="s">
        <v>44</v>
      </c>
      <c r="G54" t="s">
        <v>18</v>
      </c>
      <c r="H54">
        <v>2</v>
      </c>
      <c r="I54">
        <v>1</v>
      </c>
      <c r="J54" t="s">
        <v>428</v>
      </c>
      <c r="K54">
        <v>0.8</v>
      </c>
      <c r="L54">
        <v>1.1000000000000001</v>
      </c>
      <c r="M54">
        <v>70</v>
      </c>
      <c r="N54" s="2">
        <v>24728</v>
      </c>
      <c r="Q54" s="1"/>
    </row>
    <row r="55" spans="1:17" x14ac:dyDescent="0.25">
      <c r="A55" s="1">
        <v>45418</v>
      </c>
      <c r="B55" t="s">
        <v>181</v>
      </c>
      <c r="C55" t="s">
        <v>412</v>
      </c>
      <c r="D55" t="s">
        <v>110</v>
      </c>
      <c r="E55" t="s">
        <v>117</v>
      </c>
      <c r="F55" t="s">
        <v>43</v>
      </c>
      <c r="G55" t="s">
        <v>19</v>
      </c>
      <c r="H55">
        <v>3</v>
      </c>
      <c r="I55">
        <v>4</v>
      </c>
      <c r="J55" t="s">
        <v>432</v>
      </c>
      <c r="K55">
        <v>0.9</v>
      </c>
      <c r="L55">
        <v>2.4</v>
      </c>
      <c r="M55">
        <v>44</v>
      </c>
      <c r="N55" s="2">
        <v>45227</v>
      </c>
      <c r="Q55" s="1"/>
    </row>
    <row r="56" spans="1:17" x14ac:dyDescent="0.25">
      <c r="A56" s="1">
        <v>45424</v>
      </c>
      <c r="B56" t="s">
        <v>181</v>
      </c>
      <c r="C56" t="s">
        <v>412</v>
      </c>
      <c r="D56" t="s">
        <v>111</v>
      </c>
      <c r="E56" t="s">
        <v>62</v>
      </c>
      <c r="F56" t="s">
        <v>44</v>
      </c>
      <c r="G56" t="s">
        <v>18</v>
      </c>
      <c r="H56">
        <v>2</v>
      </c>
      <c r="I56">
        <v>1</v>
      </c>
      <c r="J56" t="s">
        <v>413</v>
      </c>
      <c r="K56">
        <v>1.5</v>
      </c>
      <c r="L56">
        <v>0.7</v>
      </c>
      <c r="M56">
        <v>70</v>
      </c>
      <c r="N56" s="2">
        <v>26529</v>
      </c>
      <c r="Q56" s="1"/>
    </row>
    <row r="57" spans="1:17" x14ac:dyDescent="0.25">
      <c r="A57" s="1">
        <v>45431</v>
      </c>
      <c r="B57" t="s">
        <v>181</v>
      </c>
      <c r="C57" t="s">
        <v>412</v>
      </c>
      <c r="D57" t="s">
        <v>112</v>
      </c>
      <c r="E57" t="s">
        <v>62</v>
      </c>
      <c r="F57" t="s">
        <v>43</v>
      </c>
      <c r="G57" t="s">
        <v>4</v>
      </c>
      <c r="H57">
        <v>2</v>
      </c>
      <c r="I57">
        <v>2</v>
      </c>
      <c r="J57" t="s">
        <v>437</v>
      </c>
      <c r="K57">
        <v>1.2</v>
      </c>
      <c r="L57">
        <v>0.9</v>
      </c>
      <c r="M57">
        <v>55</v>
      </c>
      <c r="N57" s="2">
        <v>45488</v>
      </c>
      <c r="Q57" s="1"/>
    </row>
    <row r="59" spans="1:17" x14ac:dyDescent="0.25">
      <c r="A59" t="s">
        <v>291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106C-DD8C-42FD-B1B9-8EC7428E2F31}">
  <dimension ref="A1:Q28"/>
  <sheetViews>
    <sheetView workbookViewId="0">
      <selection activeCell="O1" sqref="O1:V1048576"/>
    </sheetView>
  </sheetViews>
  <sheetFormatPr defaultRowHeight="15" x14ac:dyDescent="0.25"/>
  <cols>
    <col min="1" max="1" width="11.28515625" customWidth="1"/>
  </cols>
  <sheetData>
    <row r="1" spans="1:17" x14ac:dyDescent="0.25">
      <c r="A1" t="s">
        <v>507</v>
      </c>
    </row>
    <row r="2" spans="1:17" x14ac:dyDescent="0.25">
      <c r="A2" t="s">
        <v>508</v>
      </c>
    </row>
    <row r="3" spans="1:17" x14ac:dyDescent="0.25">
      <c r="A3" t="s">
        <v>509</v>
      </c>
    </row>
    <row r="4" spans="1:17" x14ac:dyDescent="0.25">
      <c r="A4" t="s">
        <v>510</v>
      </c>
    </row>
    <row r="7" spans="1:17" x14ac:dyDescent="0.25">
      <c r="A7" t="s">
        <v>0</v>
      </c>
      <c r="B7" t="s">
        <v>1</v>
      </c>
      <c r="C7" t="s">
        <v>16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 t="s">
        <v>45</v>
      </c>
      <c r="K7" t="s">
        <v>55</v>
      </c>
      <c r="L7" t="s">
        <v>56</v>
      </c>
      <c r="M7" t="s">
        <v>57</v>
      </c>
      <c r="N7" t="s">
        <v>24</v>
      </c>
    </row>
    <row r="8" spans="1:17" x14ac:dyDescent="0.25">
      <c r="A8" s="1">
        <v>45510</v>
      </c>
      <c r="B8" t="s">
        <v>158</v>
      </c>
      <c r="C8" t="s">
        <v>118</v>
      </c>
      <c r="D8" t="s">
        <v>196</v>
      </c>
      <c r="E8" t="s">
        <v>69</v>
      </c>
      <c r="F8" t="s">
        <v>43</v>
      </c>
      <c r="G8" t="s">
        <v>18</v>
      </c>
      <c r="H8">
        <v>2</v>
      </c>
      <c r="I8">
        <v>1</v>
      </c>
      <c r="J8" t="s">
        <v>275</v>
      </c>
      <c r="N8" s="2">
        <v>12908</v>
      </c>
      <c r="Q8" s="1"/>
    </row>
    <row r="9" spans="1:17" x14ac:dyDescent="0.25">
      <c r="A9" s="1">
        <v>45517</v>
      </c>
      <c r="B9" t="s">
        <v>199</v>
      </c>
      <c r="C9" t="s">
        <v>118</v>
      </c>
      <c r="D9" t="s">
        <v>196</v>
      </c>
      <c r="E9" t="s">
        <v>69</v>
      </c>
      <c r="F9" t="s">
        <v>44</v>
      </c>
      <c r="G9" t="s">
        <v>4</v>
      </c>
      <c r="H9">
        <v>1</v>
      </c>
      <c r="I9">
        <v>1</v>
      </c>
      <c r="J9" t="s">
        <v>275</v>
      </c>
      <c r="N9" s="2">
        <v>40474</v>
      </c>
      <c r="Q9" s="1"/>
    </row>
    <row r="10" spans="1:17" x14ac:dyDescent="0.25">
      <c r="A10" s="1">
        <v>45521</v>
      </c>
      <c r="B10" t="s">
        <v>162</v>
      </c>
      <c r="C10" t="s">
        <v>412</v>
      </c>
      <c r="D10" t="s">
        <v>59</v>
      </c>
      <c r="E10" t="s">
        <v>64</v>
      </c>
      <c r="F10" t="s">
        <v>44</v>
      </c>
      <c r="G10" t="s">
        <v>18</v>
      </c>
      <c r="H10">
        <v>2</v>
      </c>
      <c r="I10">
        <v>0</v>
      </c>
      <c r="J10" t="s">
        <v>447</v>
      </c>
      <c r="K10">
        <v>2.1</v>
      </c>
      <c r="L10">
        <v>0.1</v>
      </c>
      <c r="M10">
        <v>68</v>
      </c>
      <c r="N10" s="2">
        <v>14755</v>
      </c>
      <c r="P10" s="1"/>
      <c r="Q10" s="1"/>
    </row>
    <row r="11" spans="1:17" x14ac:dyDescent="0.25">
      <c r="A11" s="1">
        <v>45524</v>
      </c>
      <c r="B11" t="s">
        <v>181</v>
      </c>
      <c r="C11" t="s">
        <v>118</v>
      </c>
      <c r="D11" t="s">
        <v>172</v>
      </c>
      <c r="E11" t="s">
        <v>69</v>
      </c>
      <c r="F11" t="s">
        <v>43</v>
      </c>
      <c r="G11" t="s">
        <v>18</v>
      </c>
      <c r="H11">
        <v>2</v>
      </c>
      <c r="I11">
        <v>0</v>
      </c>
      <c r="J11" t="s">
        <v>210</v>
      </c>
      <c r="M11">
        <v>62</v>
      </c>
      <c r="N11" s="2">
        <v>15019</v>
      </c>
      <c r="P11" s="1"/>
      <c r="Q11" s="1"/>
    </row>
    <row r="12" spans="1:17" x14ac:dyDescent="0.25">
      <c r="A12" s="1">
        <v>45528</v>
      </c>
      <c r="B12" t="s">
        <v>162</v>
      </c>
      <c r="C12" t="s">
        <v>412</v>
      </c>
      <c r="D12" t="s">
        <v>61</v>
      </c>
      <c r="E12" t="s">
        <v>64</v>
      </c>
      <c r="F12" t="s">
        <v>43</v>
      </c>
      <c r="G12" t="s">
        <v>18</v>
      </c>
      <c r="H12">
        <v>2</v>
      </c>
      <c r="I12">
        <v>0</v>
      </c>
      <c r="J12" t="s">
        <v>416</v>
      </c>
      <c r="K12">
        <v>0.9</v>
      </c>
      <c r="L12">
        <v>0.6</v>
      </c>
      <c r="M12">
        <v>64</v>
      </c>
      <c r="N12" s="2">
        <v>36906</v>
      </c>
      <c r="P12" s="1"/>
      <c r="Q12" s="1"/>
    </row>
    <row r="13" spans="1:17" x14ac:dyDescent="0.25">
      <c r="A13" s="1">
        <v>45532</v>
      </c>
      <c r="B13" t="s">
        <v>181</v>
      </c>
      <c r="C13" t="s">
        <v>118</v>
      </c>
      <c r="D13" t="s">
        <v>172</v>
      </c>
      <c r="E13" t="s">
        <v>92</v>
      </c>
      <c r="F13" t="s">
        <v>44</v>
      </c>
      <c r="G13" t="s">
        <v>19</v>
      </c>
      <c r="H13">
        <v>1</v>
      </c>
      <c r="I13">
        <v>2</v>
      </c>
      <c r="J13" t="s">
        <v>210</v>
      </c>
      <c r="M13">
        <v>49</v>
      </c>
      <c r="N13" s="2">
        <v>18848</v>
      </c>
      <c r="P13" s="1"/>
      <c r="Q13" s="1"/>
    </row>
    <row r="14" spans="1:17" x14ac:dyDescent="0.25">
      <c r="A14" s="1">
        <v>45536</v>
      </c>
      <c r="B14" t="s">
        <v>156</v>
      </c>
      <c r="C14" t="s">
        <v>412</v>
      </c>
      <c r="D14" t="s">
        <v>63</v>
      </c>
      <c r="E14" t="s">
        <v>62</v>
      </c>
      <c r="F14" t="s">
        <v>43</v>
      </c>
      <c r="G14" t="s">
        <v>19</v>
      </c>
      <c r="H14">
        <v>1</v>
      </c>
      <c r="I14">
        <v>3</v>
      </c>
      <c r="J14" t="s">
        <v>434</v>
      </c>
      <c r="K14">
        <v>1.4</v>
      </c>
      <c r="L14">
        <v>2.6</v>
      </c>
      <c r="M14">
        <v>42</v>
      </c>
      <c r="N14" s="2">
        <v>45434</v>
      </c>
      <c r="P14" s="1"/>
      <c r="Q14" s="1"/>
    </row>
    <row r="15" spans="1:17" x14ac:dyDescent="0.25">
      <c r="A15" s="1">
        <v>45548</v>
      </c>
      <c r="B15" t="s">
        <v>156</v>
      </c>
      <c r="C15" t="s">
        <v>412</v>
      </c>
      <c r="D15" t="s">
        <v>66</v>
      </c>
      <c r="E15" t="s">
        <v>60</v>
      </c>
      <c r="F15" t="s">
        <v>44</v>
      </c>
      <c r="G15" t="s">
        <v>19</v>
      </c>
      <c r="H15">
        <v>0</v>
      </c>
      <c r="I15">
        <v>1</v>
      </c>
      <c r="J15" t="s">
        <v>429</v>
      </c>
      <c r="K15">
        <v>1.2</v>
      </c>
      <c r="L15">
        <v>1.2</v>
      </c>
      <c r="M15">
        <v>70</v>
      </c>
      <c r="N15" s="2">
        <v>23000</v>
      </c>
      <c r="P15" s="1"/>
    </row>
    <row r="16" spans="1:17" x14ac:dyDescent="0.25">
      <c r="A16" s="1">
        <v>45552</v>
      </c>
      <c r="B16" t="s">
        <v>161</v>
      </c>
      <c r="C16" t="s">
        <v>118</v>
      </c>
      <c r="D16" t="s">
        <v>511</v>
      </c>
      <c r="E16" t="s">
        <v>69</v>
      </c>
      <c r="F16" t="s">
        <v>44</v>
      </c>
      <c r="G16" t="s">
        <v>19</v>
      </c>
      <c r="H16">
        <v>0</v>
      </c>
      <c r="I16">
        <v>2</v>
      </c>
      <c r="J16" t="s">
        <v>344</v>
      </c>
      <c r="K16">
        <v>0.4</v>
      </c>
      <c r="L16">
        <v>1.6</v>
      </c>
      <c r="M16">
        <v>50</v>
      </c>
      <c r="N16" s="2">
        <v>40024</v>
      </c>
      <c r="P16" s="1"/>
      <c r="Q16" s="1"/>
    </row>
    <row r="17" spans="1:17" x14ac:dyDescent="0.25">
      <c r="A17" s="1">
        <v>45556</v>
      </c>
      <c r="B17" t="s">
        <v>244</v>
      </c>
      <c r="C17" t="s">
        <v>412</v>
      </c>
      <c r="D17" t="s">
        <v>68</v>
      </c>
      <c r="E17" t="s">
        <v>64</v>
      </c>
      <c r="F17" t="s">
        <v>43</v>
      </c>
      <c r="G17" t="s">
        <v>4</v>
      </c>
      <c r="H17">
        <v>3</v>
      </c>
      <c r="I17">
        <v>3</v>
      </c>
      <c r="J17" t="s">
        <v>414</v>
      </c>
      <c r="K17">
        <v>2.6</v>
      </c>
      <c r="L17">
        <v>3.2</v>
      </c>
      <c r="M17">
        <v>63</v>
      </c>
      <c r="N17" s="2">
        <v>39516</v>
      </c>
    </row>
    <row r="18" spans="1:17" x14ac:dyDescent="0.25">
      <c r="A18" s="1">
        <v>45563</v>
      </c>
      <c r="B18" t="s">
        <v>162</v>
      </c>
      <c r="C18" t="s">
        <v>412</v>
      </c>
      <c r="D18" t="s">
        <v>71</v>
      </c>
      <c r="E18" t="s">
        <v>64</v>
      </c>
      <c r="F18" t="s">
        <v>44</v>
      </c>
      <c r="G18" t="s">
        <v>18</v>
      </c>
      <c r="H18">
        <v>3</v>
      </c>
      <c r="I18">
        <v>0</v>
      </c>
      <c r="J18" t="s">
        <v>500</v>
      </c>
      <c r="K18">
        <v>3.1</v>
      </c>
      <c r="L18">
        <v>0.4</v>
      </c>
      <c r="M18">
        <v>62</v>
      </c>
      <c r="N18" s="2">
        <v>21369</v>
      </c>
      <c r="Q18" s="1"/>
    </row>
    <row r="19" spans="1:17" x14ac:dyDescent="0.25">
      <c r="A19" s="1">
        <v>45567</v>
      </c>
      <c r="B19" t="s">
        <v>181</v>
      </c>
      <c r="C19" t="s">
        <v>118</v>
      </c>
      <c r="D19" t="s">
        <v>511</v>
      </c>
      <c r="E19" t="s">
        <v>92</v>
      </c>
      <c r="F19" t="s">
        <v>43</v>
      </c>
      <c r="G19" t="s">
        <v>18</v>
      </c>
      <c r="H19">
        <v>1</v>
      </c>
      <c r="I19">
        <v>0</v>
      </c>
      <c r="J19" t="s">
        <v>342</v>
      </c>
      <c r="K19">
        <v>1.1000000000000001</v>
      </c>
      <c r="L19">
        <v>2</v>
      </c>
      <c r="M19">
        <v>42</v>
      </c>
      <c r="N19" s="2">
        <v>48205</v>
      </c>
      <c r="Q19" s="1"/>
    </row>
    <row r="20" spans="1:17" x14ac:dyDescent="0.25">
      <c r="A20" s="1">
        <v>45570</v>
      </c>
      <c r="B20" t="s">
        <v>162</v>
      </c>
      <c r="C20" t="s">
        <v>412</v>
      </c>
      <c r="D20" t="s">
        <v>72</v>
      </c>
      <c r="E20" t="s">
        <v>64</v>
      </c>
      <c r="F20" t="s">
        <v>43</v>
      </c>
      <c r="G20" t="s">
        <v>18</v>
      </c>
      <c r="H20">
        <v>2</v>
      </c>
      <c r="I20">
        <v>1</v>
      </c>
      <c r="J20" t="s">
        <v>433</v>
      </c>
      <c r="K20">
        <v>1.6</v>
      </c>
      <c r="L20">
        <v>1.1000000000000001</v>
      </c>
      <c r="M20">
        <v>57</v>
      </c>
      <c r="N20" s="2">
        <v>36947</v>
      </c>
      <c r="Q20" s="1"/>
    </row>
    <row r="21" spans="1:17" x14ac:dyDescent="0.25">
      <c r="A21" s="1">
        <v>45583</v>
      </c>
      <c r="B21" t="s">
        <v>156</v>
      </c>
      <c r="C21" t="s">
        <v>412</v>
      </c>
      <c r="D21" t="s">
        <v>74</v>
      </c>
      <c r="E21" t="s">
        <v>60</v>
      </c>
      <c r="F21" t="s">
        <v>44</v>
      </c>
      <c r="G21" t="s">
        <v>4</v>
      </c>
      <c r="H21">
        <v>0</v>
      </c>
      <c r="I21">
        <v>0</v>
      </c>
      <c r="J21" t="s">
        <v>419</v>
      </c>
      <c r="K21">
        <v>0.2</v>
      </c>
      <c r="L21">
        <v>1.2</v>
      </c>
      <c r="M21">
        <v>48</v>
      </c>
      <c r="N21" s="2">
        <v>7263</v>
      </c>
    </row>
    <row r="22" spans="1:17" x14ac:dyDescent="0.25">
      <c r="A22" s="1">
        <v>45588</v>
      </c>
      <c r="B22" t="s">
        <v>181</v>
      </c>
      <c r="C22" t="s">
        <v>118</v>
      </c>
      <c r="D22" t="s">
        <v>511</v>
      </c>
      <c r="E22" t="s">
        <v>92</v>
      </c>
      <c r="F22" t="s">
        <v>44</v>
      </c>
      <c r="G22" t="s">
        <v>18</v>
      </c>
      <c r="H22">
        <v>3</v>
      </c>
      <c r="I22">
        <v>1</v>
      </c>
      <c r="J22" t="s">
        <v>512</v>
      </c>
      <c r="K22">
        <v>1.3</v>
      </c>
      <c r="L22">
        <v>2.2999999999999998</v>
      </c>
      <c r="M22">
        <v>39</v>
      </c>
      <c r="N22" s="2">
        <v>61197</v>
      </c>
      <c r="P22" s="1"/>
      <c r="Q22" s="1"/>
    </row>
    <row r="23" spans="1:17" x14ac:dyDescent="0.25">
      <c r="A23" s="1">
        <v>45591</v>
      </c>
      <c r="B23" t="s">
        <v>181</v>
      </c>
      <c r="C23" t="s">
        <v>412</v>
      </c>
      <c r="D23" t="s">
        <v>75</v>
      </c>
      <c r="E23" t="s">
        <v>64</v>
      </c>
      <c r="F23" t="s">
        <v>44</v>
      </c>
      <c r="G23" t="s">
        <v>18</v>
      </c>
      <c r="H23">
        <v>2</v>
      </c>
      <c r="I23">
        <v>0</v>
      </c>
      <c r="J23" t="s">
        <v>470</v>
      </c>
      <c r="K23">
        <v>1.8</v>
      </c>
      <c r="L23">
        <v>1</v>
      </c>
      <c r="M23">
        <v>42</v>
      </c>
      <c r="N23" s="2">
        <v>38223</v>
      </c>
    </row>
    <row r="24" spans="1:17" x14ac:dyDescent="0.25">
      <c r="A24" s="1">
        <v>45597</v>
      </c>
      <c r="B24" t="s">
        <v>198</v>
      </c>
      <c r="C24" t="s">
        <v>412</v>
      </c>
      <c r="D24" t="s">
        <v>79</v>
      </c>
      <c r="E24" t="s">
        <v>60</v>
      </c>
      <c r="F24" t="s">
        <v>43</v>
      </c>
      <c r="G24" t="s">
        <v>4</v>
      </c>
      <c r="H24">
        <v>1</v>
      </c>
      <c r="I24">
        <v>1</v>
      </c>
      <c r="J24" t="s">
        <v>432</v>
      </c>
      <c r="K24">
        <v>1.7</v>
      </c>
      <c r="L24">
        <v>1.2</v>
      </c>
      <c r="M24">
        <v>47</v>
      </c>
      <c r="N24" s="2">
        <v>45084</v>
      </c>
      <c r="Q24" s="1"/>
    </row>
    <row r="25" spans="1:17" x14ac:dyDescent="0.25">
      <c r="A25" s="1">
        <v>45601</v>
      </c>
      <c r="B25" t="s">
        <v>181</v>
      </c>
      <c r="C25" t="s">
        <v>118</v>
      </c>
      <c r="D25" t="s">
        <v>511</v>
      </c>
      <c r="E25" t="s">
        <v>69</v>
      </c>
      <c r="F25" t="s">
        <v>43</v>
      </c>
      <c r="G25" t="s">
        <v>4</v>
      </c>
      <c r="H25">
        <v>1</v>
      </c>
      <c r="I25">
        <v>1</v>
      </c>
      <c r="J25" t="s">
        <v>277</v>
      </c>
      <c r="K25">
        <v>0.8</v>
      </c>
      <c r="L25">
        <v>1.4</v>
      </c>
      <c r="M25">
        <v>34</v>
      </c>
      <c r="N25" s="2">
        <v>48312</v>
      </c>
    </row>
    <row r="26" spans="1:17" x14ac:dyDescent="0.25">
      <c r="A26" s="1">
        <v>45606</v>
      </c>
      <c r="B26" t="s">
        <v>411</v>
      </c>
      <c r="C26" t="s">
        <v>412</v>
      </c>
      <c r="D26" t="s">
        <v>81</v>
      </c>
      <c r="E26" t="s">
        <v>62</v>
      </c>
      <c r="F26" t="s">
        <v>44</v>
      </c>
      <c r="G26" t="s">
        <v>4</v>
      </c>
      <c r="H26">
        <v>2</v>
      </c>
      <c r="I26">
        <v>2</v>
      </c>
      <c r="J26" t="s">
        <v>437</v>
      </c>
      <c r="K26">
        <v>1.7</v>
      </c>
      <c r="L26">
        <v>2.1</v>
      </c>
      <c r="M26">
        <v>57</v>
      </c>
      <c r="N26" s="2">
        <v>25063</v>
      </c>
      <c r="P26" s="1"/>
      <c r="Q26" s="1"/>
    </row>
    <row r="27" spans="1:17" x14ac:dyDescent="0.25">
      <c r="A27" s="1">
        <v>45620</v>
      </c>
      <c r="B27" t="s">
        <v>411</v>
      </c>
      <c r="C27" t="s">
        <v>412</v>
      </c>
      <c r="D27" t="s">
        <v>83</v>
      </c>
      <c r="E27" t="s">
        <v>62</v>
      </c>
      <c r="F27" t="s">
        <v>43</v>
      </c>
      <c r="G27" t="s">
        <v>18</v>
      </c>
      <c r="H27">
        <v>1</v>
      </c>
      <c r="I27">
        <v>0</v>
      </c>
      <c r="J27" t="s">
        <v>421</v>
      </c>
      <c r="K27">
        <v>0.4</v>
      </c>
      <c r="L27">
        <v>0.2</v>
      </c>
      <c r="M27">
        <v>52</v>
      </c>
      <c r="Q27" s="1"/>
    </row>
    <row r="28" spans="1:17" x14ac:dyDescent="0.25">
      <c r="A28" s="1">
        <v>45623</v>
      </c>
      <c r="B28" t="s">
        <v>181</v>
      </c>
      <c r="C28" t="s">
        <v>118</v>
      </c>
      <c r="D28" t="s">
        <v>511</v>
      </c>
      <c r="E28" t="s">
        <v>92</v>
      </c>
      <c r="F28" t="s">
        <v>44</v>
      </c>
      <c r="G28" t="s">
        <v>18</v>
      </c>
      <c r="H28">
        <v>2</v>
      </c>
      <c r="I28">
        <v>1</v>
      </c>
      <c r="J28" t="s">
        <v>513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4674-3D6C-4C8B-923A-9D1D253F9B99}">
  <dimension ref="A1:Q56"/>
  <sheetViews>
    <sheetView workbookViewId="0">
      <selection activeCell="J5" sqref="J5"/>
    </sheetView>
  </sheetViews>
  <sheetFormatPr defaultRowHeight="15" x14ac:dyDescent="0.25"/>
  <cols>
    <col min="1" max="1" width="10.7109375" style="4" customWidth="1"/>
  </cols>
  <sheetData>
    <row r="1" spans="1:17" x14ac:dyDescent="0.25">
      <c r="A1" s="4" t="s">
        <v>529</v>
      </c>
    </row>
    <row r="2" spans="1:17" x14ac:dyDescent="0.25">
      <c r="A2" s="4" t="s">
        <v>530</v>
      </c>
    </row>
    <row r="3" spans="1:17" x14ac:dyDescent="0.25">
      <c r="A3" s="4" t="s">
        <v>531</v>
      </c>
    </row>
    <row r="4" spans="1:17" x14ac:dyDescent="0.25">
      <c r="A4" s="4" t="s">
        <v>532</v>
      </c>
    </row>
    <row r="6" spans="1:17" x14ac:dyDescent="0.25">
      <c r="B6" t="s">
        <v>574</v>
      </c>
    </row>
    <row r="7" spans="1:17" x14ac:dyDescent="0.25">
      <c r="A7" s="4" t="s">
        <v>0</v>
      </c>
      <c r="B7" t="s">
        <v>53</v>
      </c>
      <c r="C7" t="s">
        <v>54</v>
      </c>
      <c r="D7" t="s">
        <v>20</v>
      </c>
      <c r="E7" t="s">
        <v>21</v>
      </c>
      <c r="F7" t="s">
        <v>55</v>
      </c>
      <c r="G7" t="s">
        <v>56</v>
      </c>
      <c r="H7" t="s">
        <v>57</v>
      </c>
      <c r="I7" t="s">
        <v>24</v>
      </c>
      <c r="L7" t="s">
        <v>0</v>
      </c>
      <c r="M7" t="s">
        <v>576</v>
      </c>
    </row>
    <row r="8" spans="1:17" x14ac:dyDescent="0.25">
      <c r="A8" s="4">
        <v>42966</v>
      </c>
      <c r="B8" t="s">
        <v>44</v>
      </c>
      <c r="C8" t="s">
        <v>18</v>
      </c>
      <c r="D8">
        <v>3</v>
      </c>
      <c r="E8">
        <v>2</v>
      </c>
      <c r="F8">
        <v>2.1</v>
      </c>
      <c r="G8">
        <v>1.8</v>
      </c>
      <c r="H8">
        <v>47</v>
      </c>
      <c r="I8" s="2">
        <v>16961</v>
      </c>
      <c r="L8" s="4">
        <f>A9</f>
        <v>42972</v>
      </c>
      <c r="M8" s="2">
        <f>I9</f>
        <v>19931</v>
      </c>
      <c r="P8" s="1"/>
      <c r="Q8" s="1"/>
    </row>
    <row r="9" spans="1:17" s="48" customFormat="1" x14ac:dyDescent="0.25">
      <c r="A9" s="47">
        <v>42972</v>
      </c>
      <c r="B9" s="48" t="s">
        <v>43</v>
      </c>
      <c r="C9" s="48" t="s">
        <v>18</v>
      </c>
      <c r="D9" s="48">
        <v>3</v>
      </c>
      <c r="E9" s="48">
        <v>0</v>
      </c>
      <c r="F9" s="48">
        <v>2</v>
      </c>
      <c r="G9" s="48">
        <v>0.2</v>
      </c>
      <c r="H9" s="48">
        <v>60</v>
      </c>
      <c r="I9" s="49">
        <v>19931</v>
      </c>
      <c r="L9" s="47">
        <f>A11</f>
        <v>42992</v>
      </c>
      <c r="M9" s="49">
        <f>I11</f>
        <v>21479</v>
      </c>
      <c r="P9" s="50"/>
      <c r="Q9" s="50"/>
    </row>
    <row r="10" spans="1:17" x14ac:dyDescent="0.25">
      <c r="A10" s="4">
        <v>42988</v>
      </c>
      <c r="B10" t="s">
        <v>44</v>
      </c>
      <c r="C10" t="s">
        <v>18</v>
      </c>
      <c r="D10">
        <v>4</v>
      </c>
      <c r="E10">
        <v>2</v>
      </c>
      <c r="F10">
        <v>2</v>
      </c>
      <c r="G10">
        <v>1</v>
      </c>
      <c r="H10">
        <v>57</v>
      </c>
      <c r="I10" s="2">
        <v>21942</v>
      </c>
      <c r="L10" s="4">
        <f>A12</f>
        <v>42995</v>
      </c>
      <c r="M10" s="2">
        <f>I12</f>
        <v>24966</v>
      </c>
      <c r="P10" s="1"/>
      <c r="Q10" s="1"/>
    </row>
    <row r="11" spans="1:17" s="48" customFormat="1" x14ac:dyDescent="0.25">
      <c r="A11" s="47">
        <v>42992</v>
      </c>
      <c r="B11" s="48" t="s">
        <v>43</v>
      </c>
      <c r="C11" s="48" t="s">
        <v>18</v>
      </c>
      <c r="D11" s="48">
        <v>4</v>
      </c>
      <c r="E11" s="48">
        <v>0</v>
      </c>
      <c r="F11" s="48">
        <v>3.1</v>
      </c>
      <c r="G11" s="48">
        <v>0.4</v>
      </c>
      <c r="H11" s="48">
        <v>65</v>
      </c>
      <c r="I11" s="49">
        <v>21479</v>
      </c>
      <c r="L11" s="47">
        <f>A14</f>
        <v>43002</v>
      </c>
      <c r="M11" s="49">
        <f>I14</f>
        <v>20266</v>
      </c>
      <c r="P11" s="50"/>
      <c r="Q11" s="50"/>
    </row>
    <row r="12" spans="1:17" s="48" customFormat="1" x14ac:dyDescent="0.25">
      <c r="A12" s="47">
        <v>42995</v>
      </c>
      <c r="B12" s="48" t="s">
        <v>43</v>
      </c>
      <c r="C12" s="48" t="s">
        <v>19</v>
      </c>
      <c r="D12" s="48">
        <v>1</v>
      </c>
      <c r="E12" s="48">
        <v>3</v>
      </c>
      <c r="F12" s="48">
        <v>0.5</v>
      </c>
      <c r="G12" s="48">
        <v>2.8</v>
      </c>
      <c r="H12" s="48">
        <v>50</v>
      </c>
      <c r="I12" s="49">
        <v>24966</v>
      </c>
      <c r="L12" s="47">
        <f>A16</f>
        <v>43009</v>
      </c>
      <c r="M12" s="49">
        <f>I16</f>
        <v>19669</v>
      </c>
      <c r="P12" s="50"/>
      <c r="Q12" s="50"/>
    </row>
    <row r="13" spans="1:17" x14ac:dyDescent="0.25">
      <c r="A13" s="4">
        <v>42999</v>
      </c>
      <c r="B13" t="s">
        <v>44</v>
      </c>
      <c r="C13" t="s">
        <v>19</v>
      </c>
      <c r="D13">
        <v>0</v>
      </c>
      <c r="E13">
        <v>3</v>
      </c>
      <c r="F13">
        <v>0.7</v>
      </c>
      <c r="G13">
        <v>1.9</v>
      </c>
      <c r="H13">
        <v>67</v>
      </c>
      <c r="I13" s="2">
        <v>17415</v>
      </c>
      <c r="L13" s="4">
        <f>A19</f>
        <v>43031</v>
      </c>
      <c r="M13" s="2">
        <f>I19</f>
        <v>18515</v>
      </c>
    </row>
    <row r="14" spans="1:17" s="48" customFormat="1" x14ac:dyDescent="0.25">
      <c r="A14" s="47">
        <v>43002</v>
      </c>
      <c r="B14" s="48" t="s">
        <v>43</v>
      </c>
      <c r="C14" s="48" t="s">
        <v>19</v>
      </c>
      <c r="D14" s="48">
        <v>2</v>
      </c>
      <c r="E14" s="48">
        <v>3</v>
      </c>
      <c r="F14" s="48">
        <v>1.1000000000000001</v>
      </c>
      <c r="G14" s="48">
        <v>1.8</v>
      </c>
      <c r="H14" s="48">
        <v>58</v>
      </c>
      <c r="I14" s="49">
        <v>20266</v>
      </c>
      <c r="L14" s="47">
        <f>A22</f>
        <v>43041</v>
      </c>
      <c r="M14" s="49">
        <f>I22</f>
        <v>17242</v>
      </c>
      <c r="Q14" s="50"/>
    </row>
    <row r="15" spans="1:17" x14ac:dyDescent="0.25">
      <c r="A15" s="4">
        <v>43006</v>
      </c>
      <c r="B15" t="s">
        <v>44</v>
      </c>
      <c r="C15" t="s">
        <v>19</v>
      </c>
      <c r="D15">
        <v>1</v>
      </c>
      <c r="E15">
        <v>3</v>
      </c>
      <c r="F15">
        <v>0.7</v>
      </c>
      <c r="G15">
        <v>1.5</v>
      </c>
      <c r="H15">
        <v>68</v>
      </c>
      <c r="I15" s="2">
        <v>50487</v>
      </c>
      <c r="L15" s="4">
        <f>A23</f>
        <v>43044</v>
      </c>
      <c r="M15" s="2">
        <f>I23</f>
        <v>20387</v>
      </c>
      <c r="P15" s="1"/>
      <c r="Q15" s="1"/>
    </row>
    <row r="16" spans="1:17" s="48" customFormat="1" x14ac:dyDescent="0.25">
      <c r="A16" s="47">
        <v>43009</v>
      </c>
      <c r="B16" s="48" t="s">
        <v>43</v>
      </c>
      <c r="C16" s="48" t="s">
        <v>4</v>
      </c>
      <c r="D16" s="48">
        <v>4</v>
      </c>
      <c r="E16" s="48">
        <v>4</v>
      </c>
      <c r="F16" s="48">
        <v>1.7</v>
      </c>
      <c r="G16" s="48">
        <v>2.1</v>
      </c>
      <c r="H16" s="48">
        <v>56</v>
      </c>
      <c r="I16" s="49">
        <v>19669</v>
      </c>
      <c r="L16" s="47">
        <f>A26</f>
        <v>43065</v>
      </c>
      <c r="M16" s="49">
        <f>I26</f>
        <v>19780</v>
      </c>
      <c r="P16" s="50"/>
      <c r="Q16" s="50"/>
    </row>
    <row r="17" spans="1:17" x14ac:dyDescent="0.25">
      <c r="A17" s="4">
        <v>43022</v>
      </c>
      <c r="B17" t="s">
        <v>44</v>
      </c>
      <c r="C17" t="s">
        <v>18</v>
      </c>
      <c r="D17">
        <v>2</v>
      </c>
      <c r="E17">
        <v>0</v>
      </c>
      <c r="F17">
        <v>0.8</v>
      </c>
      <c r="G17">
        <v>0.6</v>
      </c>
      <c r="H17">
        <v>73</v>
      </c>
      <c r="I17" s="2">
        <v>19840</v>
      </c>
      <c r="L17" s="4">
        <f>A27</f>
        <v>43068</v>
      </c>
      <c r="M17" s="2">
        <f>I27</f>
        <v>8819</v>
      </c>
      <c r="P17" s="1"/>
      <c r="Q17" s="1"/>
    </row>
    <row r="18" spans="1:17" x14ac:dyDescent="0.25">
      <c r="A18" s="4">
        <v>43027</v>
      </c>
      <c r="B18" t="s">
        <v>44</v>
      </c>
      <c r="C18" t="s">
        <v>18</v>
      </c>
      <c r="D18">
        <v>6</v>
      </c>
      <c r="E18">
        <v>0</v>
      </c>
      <c r="F18">
        <v>7.1</v>
      </c>
      <c r="G18">
        <v>0.7</v>
      </c>
      <c r="H18">
        <v>71</v>
      </c>
      <c r="I18" s="2">
        <v>20368</v>
      </c>
      <c r="L18" s="4">
        <f>A29</f>
        <v>43076</v>
      </c>
      <c r="M18" s="2">
        <f>I29</f>
        <v>20609</v>
      </c>
      <c r="P18" s="1"/>
    </row>
    <row r="19" spans="1:17" s="48" customFormat="1" x14ac:dyDescent="0.25">
      <c r="A19" s="47">
        <v>43031</v>
      </c>
      <c r="B19" s="48" t="s">
        <v>43</v>
      </c>
      <c r="C19" s="48" t="s">
        <v>4</v>
      </c>
      <c r="D19" s="48">
        <v>1</v>
      </c>
      <c r="E19" s="48">
        <v>1</v>
      </c>
      <c r="F19" s="48">
        <v>1.3</v>
      </c>
      <c r="G19" s="48">
        <v>0.5</v>
      </c>
      <c r="H19" s="48">
        <v>61</v>
      </c>
      <c r="I19" s="49">
        <v>18515</v>
      </c>
      <c r="L19" s="47">
        <f>A30</f>
        <v>43079</v>
      </c>
      <c r="M19" s="49">
        <f>I30</f>
        <v>16834</v>
      </c>
      <c r="P19" s="50"/>
      <c r="Q19" s="50"/>
    </row>
    <row r="20" spans="1:17" x14ac:dyDescent="0.25">
      <c r="A20" s="4">
        <v>43034</v>
      </c>
      <c r="B20" t="s">
        <v>44</v>
      </c>
      <c r="C20" t="s">
        <v>18</v>
      </c>
      <c r="D20">
        <v>1</v>
      </c>
      <c r="E20">
        <v>0</v>
      </c>
      <c r="I20" s="2">
        <v>9872</v>
      </c>
      <c r="L20" s="4">
        <f>A32</f>
        <v>43089</v>
      </c>
      <c r="M20" s="2">
        <f>I32</f>
        <v>17205</v>
      </c>
    </row>
    <row r="21" spans="1:17" x14ac:dyDescent="0.25">
      <c r="A21" s="4">
        <v>43037</v>
      </c>
      <c r="B21" t="s">
        <v>44</v>
      </c>
      <c r="C21" t="s">
        <v>19</v>
      </c>
      <c r="D21">
        <v>1</v>
      </c>
      <c r="E21">
        <v>2</v>
      </c>
      <c r="F21">
        <v>1.2</v>
      </c>
      <c r="G21">
        <v>2.2000000000000002</v>
      </c>
      <c r="H21">
        <v>55</v>
      </c>
      <c r="I21" s="2">
        <v>11010</v>
      </c>
      <c r="L21" s="4">
        <f>A34</f>
        <v>43114</v>
      </c>
      <c r="M21" s="2">
        <f>I34</f>
        <v>23277</v>
      </c>
      <c r="P21" s="1"/>
      <c r="Q21" s="1"/>
    </row>
    <row r="22" spans="1:17" s="48" customFormat="1" x14ac:dyDescent="0.25">
      <c r="A22" s="47">
        <v>43041</v>
      </c>
      <c r="B22" s="48" t="s">
        <v>43</v>
      </c>
      <c r="C22" s="48" t="s">
        <v>18</v>
      </c>
      <c r="D22" s="48">
        <v>3</v>
      </c>
      <c r="E22" s="48">
        <v>0</v>
      </c>
      <c r="F22" s="48">
        <v>2.4</v>
      </c>
      <c r="G22" s="48">
        <v>0</v>
      </c>
      <c r="H22" s="48">
        <v>77</v>
      </c>
      <c r="I22" s="49">
        <v>17242</v>
      </c>
      <c r="L22" s="47">
        <f>A35</f>
        <v>43121</v>
      </c>
      <c r="M22" s="49">
        <f>I35</f>
        <v>19081</v>
      </c>
      <c r="P22" s="50"/>
      <c r="Q22" s="50"/>
    </row>
    <row r="23" spans="1:17" s="48" customFormat="1" x14ac:dyDescent="0.25">
      <c r="A23" s="47">
        <v>43044</v>
      </c>
      <c r="B23" s="48" t="s">
        <v>43</v>
      </c>
      <c r="C23" s="48" t="s">
        <v>18</v>
      </c>
      <c r="D23" s="48">
        <v>3</v>
      </c>
      <c r="E23" s="48">
        <v>1</v>
      </c>
      <c r="F23" s="48">
        <v>2.4</v>
      </c>
      <c r="G23" s="48">
        <v>0.3</v>
      </c>
      <c r="H23" s="48">
        <v>51</v>
      </c>
      <c r="I23" s="49">
        <v>20387</v>
      </c>
      <c r="L23" s="47">
        <f>A37</f>
        <v>43133</v>
      </c>
      <c r="M23" s="49">
        <f>I37</f>
        <v>15626</v>
      </c>
      <c r="P23" s="50"/>
      <c r="Q23" s="50"/>
    </row>
    <row r="24" spans="1:17" x14ac:dyDescent="0.25">
      <c r="A24" s="4">
        <v>43056</v>
      </c>
      <c r="B24" t="s">
        <v>44</v>
      </c>
      <c r="C24" t="s">
        <v>4</v>
      </c>
      <c r="D24">
        <v>1</v>
      </c>
      <c r="E24">
        <v>1</v>
      </c>
      <c r="F24">
        <v>1.4</v>
      </c>
      <c r="G24">
        <v>1.2</v>
      </c>
      <c r="H24">
        <v>46</v>
      </c>
      <c r="I24" s="2">
        <v>10136</v>
      </c>
      <c r="L24" s="4">
        <f>A39</f>
        <v>43146</v>
      </c>
      <c r="M24" s="2">
        <f>I39</f>
        <v>19790</v>
      </c>
      <c r="P24" s="1"/>
      <c r="Q24" s="1"/>
    </row>
    <row r="25" spans="1:17" x14ac:dyDescent="0.25">
      <c r="A25" s="4">
        <v>43062</v>
      </c>
      <c r="B25" t="s">
        <v>44</v>
      </c>
      <c r="C25" t="s">
        <v>18</v>
      </c>
      <c r="D25">
        <v>1</v>
      </c>
      <c r="E25">
        <v>0</v>
      </c>
      <c r="F25">
        <v>1.8</v>
      </c>
      <c r="G25">
        <v>0.5</v>
      </c>
      <c r="H25">
        <v>71</v>
      </c>
      <c r="I25" s="2">
        <v>18307</v>
      </c>
      <c r="L25" s="4">
        <f>A40</f>
        <v>43149</v>
      </c>
      <c r="M25" s="2">
        <f>I40</f>
        <v>18189</v>
      </c>
      <c r="P25" s="1"/>
      <c r="Q25" s="1"/>
    </row>
    <row r="26" spans="1:17" s="48" customFormat="1" x14ac:dyDescent="0.25">
      <c r="A26" s="47">
        <v>43065</v>
      </c>
      <c r="B26" s="48" t="s">
        <v>43</v>
      </c>
      <c r="C26" s="48" t="s">
        <v>4</v>
      </c>
      <c r="D26" s="48">
        <v>2</v>
      </c>
      <c r="E26" s="48">
        <v>2</v>
      </c>
      <c r="F26" s="48">
        <v>2.2000000000000002</v>
      </c>
      <c r="G26" s="48">
        <v>1.9</v>
      </c>
      <c r="H26" s="48">
        <v>52</v>
      </c>
      <c r="I26" s="49">
        <v>19780</v>
      </c>
      <c r="L26" s="47">
        <f>A44</f>
        <v>43163</v>
      </c>
      <c r="M26" s="49">
        <f>I44</f>
        <v>21445</v>
      </c>
      <c r="P26" s="50"/>
      <c r="Q26" s="50"/>
    </row>
    <row r="27" spans="1:17" s="48" customFormat="1" x14ac:dyDescent="0.25">
      <c r="A27" s="47">
        <v>43068</v>
      </c>
      <c r="B27" s="48" t="s">
        <v>43</v>
      </c>
      <c r="C27" s="48" t="s">
        <v>19</v>
      </c>
      <c r="D27" s="48">
        <v>2</v>
      </c>
      <c r="E27" s="48">
        <v>3</v>
      </c>
      <c r="I27" s="49">
        <v>8819</v>
      </c>
      <c r="L27" s="47">
        <f>A46</f>
        <v>43176</v>
      </c>
      <c r="M27" s="49">
        <f>I46</f>
        <v>17509</v>
      </c>
    </row>
    <row r="28" spans="1:17" x14ac:dyDescent="0.25">
      <c r="A28" s="4">
        <v>43071</v>
      </c>
      <c r="B28" t="s">
        <v>44</v>
      </c>
      <c r="C28" t="s">
        <v>19</v>
      </c>
      <c r="D28">
        <v>1</v>
      </c>
      <c r="E28">
        <v>2</v>
      </c>
      <c r="F28">
        <v>1.7</v>
      </c>
      <c r="G28">
        <v>3.6</v>
      </c>
      <c r="H28">
        <v>45</v>
      </c>
      <c r="I28" s="2">
        <v>57394</v>
      </c>
      <c r="P28" s="1"/>
      <c r="Q28" s="1"/>
    </row>
    <row r="29" spans="1:17" s="48" customFormat="1" x14ac:dyDescent="0.25">
      <c r="A29" s="47">
        <v>43076</v>
      </c>
      <c r="B29" s="48" t="s">
        <v>43</v>
      </c>
      <c r="C29" s="48" t="s">
        <v>19</v>
      </c>
      <c r="D29" s="48">
        <v>1</v>
      </c>
      <c r="E29" s="48">
        <v>3</v>
      </c>
      <c r="F29" s="48">
        <v>3.2</v>
      </c>
      <c r="G29" s="48">
        <v>1.1000000000000001</v>
      </c>
      <c r="H29" s="48">
        <v>72</v>
      </c>
      <c r="I29" s="49">
        <v>20609</v>
      </c>
      <c r="P29" s="50"/>
    </row>
    <row r="30" spans="1:17" s="48" customFormat="1" x14ac:dyDescent="0.25">
      <c r="A30" s="47">
        <v>43079</v>
      </c>
      <c r="B30" s="48" t="s">
        <v>43</v>
      </c>
      <c r="C30" s="48" t="s">
        <v>19</v>
      </c>
      <c r="D30" s="48">
        <v>0</v>
      </c>
      <c r="E30" s="48">
        <v>2</v>
      </c>
      <c r="F30" s="48">
        <v>1.8</v>
      </c>
      <c r="G30" s="48">
        <v>1.8</v>
      </c>
      <c r="H30" s="48">
        <v>67</v>
      </c>
      <c r="I30" s="49">
        <v>16834</v>
      </c>
      <c r="P30" s="50"/>
    </row>
    <row r="31" spans="1:17" x14ac:dyDescent="0.25">
      <c r="A31" s="4">
        <v>43085</v>
      </c>
      <c r="B31" t="s">
        <v>44</v>
      </c>
      <c r="C31" t="s">
        <v>4</v>
      </c>
      <c r="D31">
        <v>0</v>
      </c>
      <c r="E31">
        <v>0</v>
      </c>
      <c r="F31">
        <v>0.5</v>
      </c>
      <c r="G31">
        <v>0.7</v>
      </c>
      <c r="H31">
        <v>61</v>
      </c>
      <c r="I31" s="2">
        <v>45504</v>
      </c>
      <c r="P31" s="1"/>
    </row>
    <row r="32" spans="1:17" s="48" customFormat="1" x14ac:dyDescent="0.25">
      <c r="A32" s="47">
        <v>43089</v>
      </c>
      <c r="B32" s="48" t="s">
        <v>43</v>
      </c>
      <c r="C32" s="48" t="s">
        <v>18</v>
      </c>
      <c r="D32" s="48">
        <v>3</v>
      </c>
      <c r="E32" s="48">
        <v>1</v>
      </c>
      <c r="F32" s="48">
        <v>1.6</v>
      </c>
      <c r="G32" s="48">
        <v>0.4</v>
      </c>
      <c r="H32" s="48">
        <v>50</v>
      </c>
      <c r="I32" s="49">
        <v>17205</v>
      </c>
      <c r="P32" s="50"/>
    </row>
    <row r="33" spans="1:17" x14ac:dyDescent="0.25">
      <c r="A33" s="4">
        <v>43107</v>
      </c>
      <c r="B33" t="s">
        <v>44</v>
      </c>
      <c r="C33" t="s">
        <v>19</v>
      </c>
      <c r="D33">
        <v>0</v>
      </c>
      <c r="E33">
        <v>1</v>
      </c>
      <c r="F33">
        <v>0.6</v>
      </c>
      <c r="G33">
        <v>1.1000000000000001</v>
      </c>
      <c r="H33">
        <v>68</v>
      </c>
      <c r="I33" s="2">
        <v>7523</v>
      </c>
      <c r="P33" s="1"/>
    </row>
    <row r="34" spans="1:17" s="48" customFormat="1" x14ac:dyDescent="0.25">
      <c r="A34" s="47">
        <v>43114</v>
      </c>
      <c r="B34" s="48" t="s">
        <v>43</v>
      </c>
      <c r="C34" s="48" t="s">
        <v>19</v>
      </c>
      <c r="D34" s="48">
        <v>2</v>
      </c>
      <c r="E34" s="48">
        <v>4</v>
      </c>
      <c r="F34" s="48">
        <v>0.8</v>
      </c>
      <c r="G34" s="48">
        <v>1.3</v>
      </c>
      <c r="H34" s="48">
        <v>50</v>
      </c>
      <c r="I34" s="49">
        <v>23277</v>
      </c>
      <c r="Q34" s="50"/>
    </row>
    <row r="35" spans="1:17" s="48" customFormat="1" x14ac:dyDescent="0.25">
      <c r="A35" s="47">
        <v>43121</v>
      </c>
      <c r="B35" s="48" t="s">
        <v>43</v>
      </c>
      <c r="C35" s="48" t="s">
        <v>19</v>
      </c>
      <c r="D35" s="48">
        <v>1</v>
      </c>
      <c r="E35" s="48">
        <v>2</v>
      </c>
      <c r="F35" s="48">
        <v>1.7</v>
      </c>
      <c r="G35" s="48">
        <v>1.5</v>
      </c>
      <c r="H35" s="48">
        <v>55</v>
      </c>
      <c r="I35" s="49">
        <v>19081</v>
      </c>
      <c r="P35" s="50"/>
      <c r="Q35" s="50"/>
    </row>
    <row r="36" spans="1:17" x14ac:dyDescent="0.25">
      <c r="A36" s="4">
        <v>43127</v>
      </c>
      <c r="B36" t="s">
        <v>44</v>
      </c>
      <c r="C36" t="s">
        <v>19</v>
      </c>
      <c r="D36">
        <v>2</v>
      </c>
      <c r="E36">
        <v>4</v>
      </c>
      <c r="F36">
        <v>1.1000000000000001</v>
      </c>
      <c r="G36">
        <v>1.8</v>
      </c>
      <c r="H36">
        <v>63</v>
      </c>
      <c r="I36" s="2">
        <v>15052</v>
      </c>
    </row>
    <row r="37" spans="1:17" s="48" customFormat="1" x14ac:dyDescent="0.25">
      <c r="A37" s="47">
        <v>43133</v>
      </c>
      <c r="B37" s="48" t="s">
        <v>43</v>
      </c>
      <c r="C37" s="48" t="s">
        <v>18</v>
      </c>
      <c r="D37" s="48">
        <v>5</v>
      </c>
      <c r="E37" s="48">
        <v>0</v>
      </c>
      <c r="F37" s="48">
        <v>2.7</v>
      </c>
      <c r="G37" s="48">
        <v>0.2</v>
      </c>
      <c r="H37" s="48">
        <v>63</v>
      </c>
      <c r="I37" s="49">
        <v>15626</v>
      </c>
      <c r="P37" s="50"/>
    </row>
    <row r="38" spans="1:17" x14ac:dyDescent="0.25">
      <c r="A38" s="4">
        <v>43141</v>
      </c>
      <c r="B38" t="s">
        <v>44</v>
      </c>
      <c r="C38" t="s">
        <v>19</v>
      </c>
      <c r="D38">
        <v>2</v>
      </c>
      <c r="E38">
        <v>5</v>
      </c>
      <c r="F38">
        <v>0.7</v>
      </c>
      <c r="G38">
        <v>4.0999999999999996</v>
      </c>
      <c r="H38">
        <v>47</v>
      </c>
      <c r="I38" s="2">
        <v>63811</v>
      </c>
    </row>
    <row r="39" spans="1:17" s="48" customFormat="1" x14ac:dyDescent="0.25">
      <c r="A39" s="47">
        <v>43146</v>
      </c>
      <c r="B39" s="48" t="s">
        <v>43</v>
      </c>
      <c r="C39" s="48" t="s">
        <v>4</v>
      </c>
      <c r="D39" s="48">
        <v>2</v>
      </c>
      <c r="E39" s="48">
        <v>2</v>
      </c>
      <c r="F39" s="48">
        <v>1.5</v>
      </c>
      <c r="G39" s="48">
        <v>1</v>
      </c>
      <c r="H39" s="48">
        <v>61</v>
      </c>
      <c r="I39" s="49">
        <v>19790</v>
      </c>
      <c r="P39" s="50"/>
      <c r="Q39" s="50"/>
    </row>
    <row r="40" spans="1:17" s="48" customFormat="1" x14ac:dyDescent="0.25">
      <c r="A40" s="47">
        <v>43149</v>
      </c>
      <c r="B40" s="48" t="s">
        <v>43</v>
      </c>
      <c r="C40" s="48" t="s">
        <v>18</v>
      </c>
      <c r="D40" s="48">
        <v>3</v>
      </c>
      <c r="E40" s="48">
        <v>0</v>
      </c>
      <c r="F40" s="48">
        <v>1.8</v>
      </c>
      <c r="G40" s="48">
        <v>0.6</v>
      </c>
      <c r="H40" s="48">
        <v>67</v>
      </c>
      <c r="I40" s="49">
        <v>18189</v>
      </c>
      <c r="P40" s="50"/>
      <c r="Q40" s="50"/>
    </row>
    <row r="41" spans="1:17" x14ac:dyDescent="0.25">
      <c r="A41" s="4">
        <v>43153</v>
      </c>
      <c r="B41" t="s">
        <v>44</v>
      </c>
      <c r="C41" t="s">
        <v>19</v>
      </c>
      <c r="D41">
        <v>1</v>
      </c>
      <c r="E41">
        <v>2</v>
      </c>
      <c r="F41">
        <v>0.6</v>
      </c>
      <c r="G41">
        <v>2</v>
      </c>
      <c r="H41">
        <v>50</v>
      </c>
      <c r="I41" s="2">
        <v>13912</v>
      </c>
      <c r="P41" s="1"/>
      <c r="Q41" s="1"/>
    </row>
    <row r="42" spans="1:17" x14ac:dyDescent="0.25">
      <c r="A42" s="4">
        <v>43156</v>
      </c>
      <c r="B42" t="s">
        <v>44</v>
      </c>
      <c r="C42" t="s">
        <v>19</v>
      </c>
      <c r="D42">
        <v>1</v>
      </c>
      <c r="E42">
        <v>2</v>
      </c>
      <c r="F42">
        <v>1.1000000000000001</v>
      </c>
      <c r="G42">
        <v>1.6</v>
      </c>
      <c r="H42">
        <v>65</v>
      </c>
      <c r="I42" s="2">
        <v>37195</v>
      </c>
      <c r="Q42" s="1"/>
    </row>
    <row r="43" spans="1:17" x14ac:dyDescent="0.25">
      <c r="A43" s="4">
        <v>43160</v>
      </c>
      <c r="B43" t="s">
        <v>44</v>
      </c>
      <c r="C43" t="s">
        <v>4</v>
      </c>
      <c r="D43">
        <v>0</v>
      </c>
      <c r="E43">
        <v>0</v>
      </c>
      <c r="F43">
        <v>0.6</v>
      </c>
      <c r="G43">
        <v>0.5</v>
      </c>
      <c r="H43">
        <v>51</v>
      </c>
      <c r="I43" s="2">
        <v>40288</v>
      </c>
      <c r="P43" s="1"/>
      <c r="Q43" s="1"/>
    </row>
    <row r="44" spans="1:17" s="48" customFormat="1" x14ac:dyDescent="0.25">
      <c r="A44" s="47">
        <v>43163</v>
      </c>
      <c r="B44" s="48" t="s">
        <v>43</v>
      </c>
      <c r="C44" s="48" t="s">
        <v>18</v>
      </c>
      <c r="D44" s="48">
        <v>2</v>
      </c>
      <c r="E44" s="48">
        <v>1</v>
      </c>
      <c r="F44" s="48">
        <v>1.9</v>
      </c>
      <c r="G44" s="48">
        <v>0.5</v>
      </c>
      <c r="H44" s="48">
        <v>60</v>
      </c>
      <c r="I44" s="49">
        <v>21445</v>
      </c>
      <c r="P44" s="50"/>
    </row>
    <row r="45" spans="1:17" x14ac:dyDescent="0.25">
      <c r="A45" s="4">
        <v>43170</v>
      </c>
      <c r="B45" t="s">
        <v>44</v>
      </c>
      <c r="C45" t="s">
        <v>19</v>
      </c>
      <c r="D45">
        <v>1</v>
      </c>
      <c r="E45">
        <v>2</v>
      </c>
      <c r="F45">
        <v>0.8</v>
      </c>
      <c r="G45">
        <v>2.2000000000000002</v>
      </c>
      <c r="H45">
        <v>52</v>
      </c>
      <c r="I45" s="2">
        <v>20314</v>
      </c>
      <c r="P45" s="1"/>
      <c r="Q45" s="1"/>
    </row>
    <row r="46" spans="1:17" s="28" customFormat="1" x14ac:dyDescent="0.25">
      <c r="A46" s="27">
        <v>43176</v>
      </c>
      <c r="B46" s="48" t="s">
        <v>43</v>
      </c>
      <c r="C46" s="28" t="s">
        <v>19</v>
      </c>
      <c r="D46" s="28">
        <v>1</v>
      </c>
      <c r="E46" s="28">
        <v>2</v>
      </c>
      <c r="F46" s="28">
        <v>0.4</v>
      </c>
      <c r="G46" s="28">
        <v>0.8</v>
      </c>
      <c r="H46" s="28">
        <v>66</v>
      </c>
      <c r="I46" s="49">
        <v>17509</v>
      </c>
      <c r="P46" s="30"/>
      <c r="Q46" s="30"/>
    </row>
    <row r="47" spans="1:17" s="44" customFormat="1" x14ac:dyDescent="0.25">
      <c r="A47" s="46">
        <v>43191</v>
      </c>
      <c r="B47" s="44" t="s">
        <v>44</v>
      </c>
      <c r="C47" s="44" t="s">
        <v>4</v>
      </c>
      <c r="D47" s="44">
        <v>0</v>
      </c>
      <c r="E47" s="44">
        <v>0</v>
      </c>
      <c r="F47" s="44">
        <v>0.6</v>
      </c>
      <c r="G47" s="44">
        <v>0.9</v>
      </c>
      <c r="H47" s="44">
        <v>49</v>
      </c>
      <c r="I47" s="45">
        <v>6233</v>
      </c>
      <c r="P47" s="43"/>
      <c r="Q47" s="43"/>
    </row>
    <row r="48" spans="1:17" x14ac:dyDescent="0.25">
      <c r="A48" s="4">
        <v>43198</v>
      </c>
      <c r="B48" t="s">
        <v>43</v>
      </c>
      <c r="C48" t="s">
        <v>18</v>
      </c>
      <c r="D48">
        <v>5</v>
      </c>
      <c r="E48">
        <v>0</v>
      </c>
      <c r="F48">
        <v>3.3</v>
      </c>
      <c r="G48">
        <v>0.7</v>
      </c>
      <c r="H48">
        <v>50</v>
      </c>
      <c r="I48" s="2">
        <v>18027</v>
      </c>
      <c r="Q48" s="1"/>
    </row>
    <row r="49" spans="1:17" x14ac:dyDescent="0.25">
      <c r="A49" s="4">
        <v>43204</v>
      </c>
      <c r="B49" t="s">
        <v>44</v>
      </c>
      <c r="C49" t="s">
        <v>18</v>
      </c>
      <c r="D49">
        <v>1</v>
      </c>
      <c r="E49">
        <v>0</v>
      </c>
      <c r="F49">
        <v>2.9</v>
      </c>
      <c r="G49">
        <v>0.8</v>
      </c>
      <c r="H49">
        <v>51</v>
      </c>
      <c r="I49" s="2">
        <v>10531</v>
      </c>
      <c r="Q49" s="1"/>
    </row>
    <row r="50" spans="1:17" x14ac:dyDescent="0.25">
      <c r="A50" s="4">
        <v>43209</v>
      </c>
      <c r="B50" t="s">
        <v>43</v>
      </c>
      <c r="C50" t="s">
        <v>18</v>
      </c>
      <c r="D50">
        <v>3</v>
      </c>
      <c r="E50">
        <v>0</v>
      </c>
      <c r="F50">
        <v>0.9</v>
      </c>
      <c r="G50">
        <v>0.6</v>
      </c>
      <c r="H50">
        <v>57</v>
      </c>
      <c r="I50" s="2">
        <v>21404</v>
      </c>
    </row>
    <row r="51" spans="1:17" x14ac:dyDescent="0.25">
      <c r="A51" s="4">
        <v>43212</v>
      </c>
      <c r="B51" t="s">
        <v>44</v>
      </c>
      <c r="C51" t="s">
        <v>19</v>
      </c>
      <c r="D51">
        <v>0</v>
      </c>
      <c r="E51">
        <v>2</v>
      </c>
      <c r="F51">
        <v>1.2</v>
      </c>
      <c r="G51">
        <v>0.9</v>
      </c>
      <c r="H51">
        <v>66</v>
      </c>
      <c r="I51" s="2">
        <v>14102</v>
      </c>
      <c r="P51" s="1"/>
      <c r="Q51" s="1"/>
    </row>
    <row r="52" spans="1:17" x14ac:dyDescent="0.25">
      <c r="A52" s="4">
        <v>43218</v>
      </c>
      <c r="B52" t="s">
        <v>43</v>
      </c>
      <c r="C52" t="s">
        <v>18</v>
      </c>
      <c r="D52">
        <v>3</v>
      </c>
      <c r="E52">
        <v>1</v>
      </c>
      <c r="F52">
        <v>1.3</v>
      </c>
      <c r="G52">
        <v>1.2</v>
      </c>
      <c r="H52">
        <v>52</v>
      </c>
      <c r="I52" s="2">
        <v>23972</v>
      </c>
    </row>
    <row r="53" spans="1:17" x14ac:dyDescent="0.25">
      <c r="A53" s="4">
        <v>43224</v>
      </c>
      <c r="B53" t="s">
        <v>44</v>
      </c>
      <c r="C53" t="s">
        <v>19</v>
      </c>
      <c r="D53">
        <v>0</v>
      </c>
      <c r="E53">
        <v>1</v>
      </c>
      <c r="F53">
        <v>0.8</v>
      </c>
      <c r="G53">
        <v>1.8</v>
      </c>
      <c r="H53">
        <v>59</v>
      </c>
      <c r="I53" s="2">
        <v>34733</v>
      </c>
    </row>
    <row r="54" spans="1:17" x14ac:dyDescent="0.25">
      <c r="A54" s="4">
        <v>43232</v>
      </c>
      <c r="B54" t="s">
        <v>43</v>
      </c>
      <c r="C54" t="s">
        <v>18</v>
      </c>
      <c r="D54">
        <v>3</v>
      </c>
      <c r="E54">
        <v>2</v>
      </c>
      <c r="F54">
        <v>2.7</v>
      </c>
      <c r="G54">
        <v>1.3</v>
      </c>
      <c r="H54">
        <v>60</v>
      </c>
      <c r="I54" s="2">
        <v>19981</v>
      </c>
    </row>
    <row r="55" spans="1:17" x14ac:dyDescent="0.25">
      <c r="A55" s="4">
        <v>43240</v>
      </c>
      <c r="B55" t="s">
        <v>44</v>
      </c>
      <c r="C55" t="s">
        <v>19</v>
      </c>
      <c r="D55">
        <v>0</v>
      </c>
      <c r="E55">
        <v>1</v>
      </c>
      <c r="F55">
        <v>0.6</v>
      </c>
      <c r="G55">
        <v>1.1000000000000001</v>
      </c>
      <c r="H55">
        <v>39</v>
      </c>
      <c r="I55" s="2">
        <v>84168</v>
      </c>
      <c r="P55" s="1"/>
    </row>
    <row r="56" spans="1:17" x14ac:dyDescent="0.25">
      <c r="Q56" s="1"/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D840-EAFA-4C8F-A39E-44A6A448CA8C}">
  <dimension ref="A1:Q326"/>
  <sheetViews>
    <sheetView workbookViewId="0">
      <selection activeCell="N5" sqref="N5"/>
    </sheetView>
  </sheetViews>
  <sheetFormatPr defaultRowHeight="15" x14ac:dyDescent="0.25"/>
  <cols>
    <col min="1" max="1" width="12" style="4" customWidth="1"/>
  </cols>
  <sheetData>
    <row r="1" spans="1:17" x14ac:dyDescent="0.25">
      <c r="A1" s="4" t="s">
        <v>533</v>
      </c>
    </row>
    <row r="2" spans="1:17" x14ac:dyDescent="0.25">
      <c r="A2" s="4" t="s">
        <v>534</v>
      </c>
    </row>
    <row r="3" spans="1:17" x14ac:dyDescent="0.25">
      <c r="A3" s="4" t="s">
        <v>535</v>
      </c>
    </row>
    <row r="4" spans="1:17" x14ac:dyDescent="0.25">
      <c r="A4" s="4" t="s">
        <v>536</v>
      </c>
    </row>
    <row r="5" spans="1:17" x14ac:dyDescent="0.25">
      <c r="B5" t="s">
        <v>575</v>
      </c>
    </row>
    <row r="6" spans="1:17" x14ac:dyDescent="0.25">
      <c r="A6" s="4" t="s">
        <v>0</v>
      </c>
      <c r="B6" t="s">
        <v>53</v>
      </c>
      <c r="C6" t="s">
        <v>54</v>
      </c>
      <c r="D6" t="s">
        <v>20</v>
      </c>
      <c r="E6" t="s">
        <v>21</v>
      </c>
      <c r="F6" t="s">
        <v>55</v>
      </c>
      <c r="G6" t="s">
        <v>56</v>
      </c>
      <c r="H6" t="s">
        <v>57</v>
      </c>
      <c r="I6" t="s">
        <v>24</v>
      </c>
      <c r="P6" s="1"/>
      <c r="Q6" s="1"/>
    </row>
    <row r="7" spans="1:17" x14ac:dyDescent="0.25">
      <c r="A7" s="46">
        <v>43191</v>
      </c>
      <c r="B7" s="44" t="s">
        <v>44</v>
      </c>
      <c r="C7" s="44" t="s">
        <v>4</v>
      </c>
      <c r="D7" s="44">
        <v>0</v>
      </c>
      <c r="E7" s="44">
        <v>0</v>
      </c>
      <c r="F7" s="44">
        <v>0.6</v>
      </c>
      <c r="G7" s="44">
        <v>0.9</v>
      </c>
      <c r="H7" s="44">
        <v>49</v>
      </c>
      <c r="I7" s="45">
        <v>6233</v>
      </c>
    </row>
    <row r="8" spans="1:17" x14ac:dyDescent="0.25">
      <c r="A8" s="4">
        <v>43198</v>
      </c>
      <c r="B8" t="s">
        <v>43</v>
      </c>
      <c r="C8" t="s">
        <v>18</v>
      </c>
      <c r="D8">
        <v>5</v>
      </c>
      <c r="E8">
        <v>0</v>
      </c>
      <c r="F8">
        <v>3.3</v>
      </c>
      <c r="G8">
        <v>0.7</v>
      </c>
      <c r="H8">
        <v>50</v>
      </c>
      <c r="I8" s="2">
        <v>18027</v>
      </c>
      <c r="Q8" s="1"/>
    </row>
    <row r="9" spans="1:17" x14ac:dyDescent="0.25">
      <c r="A9" s="4">
        <v>43204</v>
      </c>
      <c r="B9" t="s">
        <v>44</v>
      </c>
      <c r="C9" t="s">
        <v>18</v>
      </c>
      <c r="D9">
        <v>1</v>
      </c>
      <c r="E9">
        <v>0</v>
      </c>
      <c r="F9">
        <v>2.9</v>
      </c>
      <c r="G9">
        <v>0.8</v>
      </c>
      <c r="H9">
        <v>51</v>
      </c>
      <c r="I9" s="2">
        <v>10531</v>
      </c>
      <c r="P9" s="1"/>
    </row>
    <row r="10" spans="1:17" x14ac:dyDescent="0.25">
      <c r="A10" s="4">
        <v>43209</v>
      </c>
      <c r="B10" t="s">
        <v>43</v>
      </c>
      <c r="C10" t="s">
        <v>18</v>
      </c>
      <c r="D10">
        <v>3</v>
      </c>
      <c r="E10">
        <v>0</v>
      </c>
      <c r="F10">
        <v>0.9</v>
      </c>
      <c r="G10">
        <v>0.6</v>
      </c>
      <c r="H10">
        <v>57</v>
      </c>
      <c r="I10" s="2">
        <v>21404</v>
      </c>
      <c r="P10" s="1"/>
      <c r="Q10" s="1"/>
    </row>
    <row r="11" spans="1:17" x14ac:dyDescent="0.25">
      <c r="A11" s="4">
        <v>43212</v>
      </c>
      <c r="B11" t="s">
        <v>44</v>
      </c>
      <c r="C11" t="s">
        <v>19</v>
      </c>
      <c r="D11">
        <v>0</v>
      </c>
      <c r="E11">
        <v>2</v>
      </c>
      <c r="F11">
        <v>1.2</v>
      </c>
      <c r="G11">
        <v>0.9</v>
      </c>
      <c r="H11">
        <v>66</v>
      </c>
      <c r="I11" s="2">
        <v>14102</v>
      </c>
      <c r="Q11" s="1"/>
    </row>
    <row r="12" spans="1:17" x14ac:dyDescent="0.25">
      <c r="A12" s="4">
        <v>43218</v>
      </c>
      <c r="B12" t="s">
        <v>43</v>
      </c>
      <c r="C12" t="s">
        <v>18</v>
      </c>
      <c r="D12">
        <v>3</v>
      </c>
      <c r="E12">
        <v>1</v>
      </c>
      <c r="F12">
        <v>1.3</v>
      </c>
      <c r="G12">
        <v>1.2</v>
      </c>
      <c r="H12">
        <v>52</v>
      </c>
      <c r="I12" s="2">
        <v>23972</v>
      </c>
      <c r="P12" s="1"/>
    </row>
    <row r="13" spans="1:17" x14ac:dyDescent="0.25">
      <c r="A13" s="4">
        <v>43224</v>
      </c>
      <c r="B13" t="s">
        <v>44</v>
      </c>
      <c r="C13" t="s">
        <v>19</v>
      </c>
      <c r="D13">
        <v>0</v>
      </c>
      <c r="E13">
        <v>1</v>
      </c>
      <c r="F13">
        <v>0.8</v>
      </c>
      <c r="G13">
        <v>1.8</v>
      </c>
      <c r="H13">
        <v>59</v>
      </c>
      <c r="I13" s="2">
        <v>34733</v>
      </c>
    </row>
    <row r="14" spans="1:17" x14ac:dyDescent="0.25">
      <c r="A14" s="4">
        <v>43232</v>
      </c>
      <c r="B14" t="s">
        <v>43</v>
      </c>
      <c r="C14" t="s">
        <v>18</v>
      </c>
      <c r="D14">
        <v>3</v>
      </c>
      <c r="E14">
        <v>2</v>
      </c>
      <c r="F14">
        <v>2.7</v>
      </c>
      <c r="G14">
        <v>1.3</v>
      </c>
      <c r="H14">
        <v>60</v>
      </c>
      <c r="I14" s="2">
        <v>19981</v>
      </c>
      <c r="P14" s="1"/>
      <c r="Q14" s="1"/>
    </row>
    <row r="15" spans="1:17" s="11" customFormat="1" x14ac:dyDescent="0.25">
      <c r="A15" s="13">
        <v>43240</v>
      </c>
      <c r="B15" s="11" t="s">
        <v>44</v>
      </c>
      <c r="C15" s="11" t="s">
        <v>19</v>
      </c>
      <c r="D15" s="11">
        <v>0</v>
      </c>
      <c r="E15" s="11">
        <v>1</v>
      </c>
      <c r="F15" s="11">
        <v>0.6</v>
      </c>
      <c r="G15" s="11">
        <v>1.1000000000000001</v>
      </c>
      <c r="H15" s="11">
        <v>39</v>
      </c>
      <c r="I15" s="51">
        <v>84168</v>
      </c>
      <c r="Q15" s="12"/>
    </row>
    <row r="16" spans="1:17" x14ac:dyDescent="0.25">
      <c r="A16" s="4">
        <v>43330</v>
      </c>
      <c r="B16" t="s">
        <v>44</v>
      </c>
      <c r="C16" t="s">
        <v>18</v>
      </c>
      <c r="D16">
        <v>2</v>
      </c>
      <c r="E16">
        <v>1</v>
      </c>
      <c r="F16">
        <v>0.7</v>
      </c>
      <c r="G16">
        <v>1.6</v>
      </c>
      <c r="H16">
        <v>48</v>
      </c>
      <c r="I16" s="2">
        <v>16250</v>
      </c>
    </row>
    <row r="17" spans="1:17" x14ac:dyDescent="0.25">
      <c r="A17" s="4">
        <v>43336</v>
      </c>
      <c r="B17" t="s">
        <v>44</v>
      </c>
      <c r="C17" t="s">
        <v>4</v>
      </c>
      <c r="D17">
        <v>2</v>
      </c>
      <c r="E17">
        <v>2</v>
      </c>
      <c r="F17">
        <v>1.6</v>
      </c>
      <c r="G17">
        <v>1.7</v>
      </c>
      <c r="H17">
        <v>33</v>
      </c>
      <c r="I17" s="2">
        <v>9375</v>
      </c>
      <c r="Q17" s="1"/>
    </row>
    <row r="18" spans="1:17" x14ac:dyDescent="0.25">
      <c r="A18" s="4">
        <v>43343</v>
      </c>
      <c r="B18" t="s">
        <v>44</v>
      </c>
      <c r="C18" t="s">
        <v>19</v>
      </c>
      <c r="D18">
        <v>1</v>
      </c>
      <c r="E18">
        <v>2</v>
      </c>
      <c r="F18">
        <v>1.3</v>
      </c>
      <c r="G18">
        <v>1</v>
      </c>
      <c r="H18">
        <v>42</v>
      </c>
      <c r="I18" s="2">
        <v>6144</v>
      </c>
      <c r="Q18" s="1"/>
    </row>
    <row r="19" spans="1:17" x14ac:dyDescent="0.25">
      <c r="A19" s="4">
        <v>43358</v>
      </c>
      <c r="B19" t="s">
        <v>43</v>
      </c>
      <c r="C19" t="s">
        <v>19</v>
      </c>
      <c r="D19">
        <v>1</v>
      </c>
      <c r="E19">
        <v>2</v>
      </c>
      <c r="F19">
        <v>1.4</v>
      </c>
      <c r="G19">
        <v>1.4</v>
      </c>
      <c r="H19">
        <v>31</v>
      </c>
      <c r="I19" s="2">
        <v>26756</v>
      </c>
      <c r="Q19" s="1"/>
    </row>
    <row r="20" spans="1:17" x14ac:dyDescent="0.25">
      <c r="A20" s="4">
        <v>43364</v>
      </c>
      <c r="B20" t="s">
        <v>44</v>
      </c>
      <c r="C20" t="s">
        <v>18</v>
      </c>
      <c r="D20">
        <v>1</v>
      </c>
      <c r="E20">
        <v>0</v>
      </c>
      <c r="F20">
        <v>0.2</v>
      </c>
      <c r="G20">
        <v>0.6</v>
      </c>
      <c r="H20">
        <v>52</v>
      </c>
      <c r="I20" s="2">
        <v>6948</v>
      </c>
      <c r="P20" s="1"/>
      <c r="Q20" s="1"/>
    </row>
    <row r="21" spans="1:17" x14ac:dyDescent="0.25">
      <c r="A21" s="4">
        <v>43368</v>
      </c>
      <c r="B21" t="s">
        <v>43</v>
      </c>
      <c r="C21" t="s">
        <v>4</v>
      </c>
      <c r="D21">
        <v>2</v>
      </c>
      <c r="E21">
        <v>2</v>
      </c>
      <c r="F21">
        <v>1.6</v>
      </c>
      <c r="G21">
        <v>2.1</v>
      </c>
      <c r="H21">
        <v>57</v>
      </c>
      <c r="I21" s="2">
        <v>21510</v>
      </c>
      <c r="P21" s="1"/>
    </row>
    <row r="22" spans="1:17" x14ac:dyDescent="0.25">
      <c r="A22" s="4">
        <v>43372</v>
      </c>
      <c r="B22" t="s">
        <v>43</v>
      </c>
      <c r="C22" t="s">
        <v>19</v>
      </c>
      <c r="D22">
        <v>0</v>
      </c>
      <c r="E22">
        <v>1</v>
      </c>
      <c r="F22">
        <v>1.3</v>
      </c>
      <c r="G22">
        <v>0.9</v>
      </c>
      <c r="H22">
        <v>54</v>
      </c>
      <c r="I22" s="2">
        <v>23577</v>
      </c>
      <c r="P22" s="1"/>
    </row>
    <row r="23" spans="1:17" x14ac:dyDescent="0.25">
      <c r="A23" s="4">
        <v>43378</v>
      </c>
      <c r="B23" t="s">
        <v>44</v>
      </c>
      <c r="C23" t="s">
        <v>18</v>
      </c>
      <c r="D23">
        <v>3</v>
      </c>
      <c r="E23">
        <v>1</v>
      </c>
      <c r="F23">
        <v>2.2000000000000002</v>
      </c>
      <c r="G23">
        <v>1.4</v>
      </c>
      <c r="H23">
        <v>31</v>
      </c>
      <c r="I23" s="2">
        <v>46884</v>
      </c>
      <c r="Q23" s="1"/>
    </row>
    <row r="24" spans="1:17" x14ac:dyDescent="0.25">
      <c r="A24" s="4">
        <v>43395</v>
      </c>
      <c r="B24" t="s">
        <v>43</v>
      </c>
      <c r="C24" t="s">
        <v>4</v>
      </c>
      <c r="D24">
        <v>0</v>
      </c>
      <c r="E24">
        <v>0</v>
      </c>
      <c r="F24">
        <v>0.6</v>
      </c>
      <c r="G24">
        <v>0.9</v>
      </c>
      <c r="H24">
        <v>54</v>
      </c>
      <c r="I24" s="2">
        <v>20997</v>
      </c>
      <c r="Q24" s="1"/>
    </row>
    <row r="25" spans="1:17" x14ac:dyDescent="0.25">
      <c r="A25" s="4">
        <v>43400</v>
      </c>
      <c r="B25" t="s">
        <v>44</v>
      </c>
      <c r="C25" t="s">
        <v>19</v>
      </c>
      <c r="D25">
        <v>0</v>
      </c>
      <c r="E25">
        <v>2</v>
      </c>
      <c r="F25">
        <v>0.3</v>
      </c>
      <c r="G25">
        <v>1.4</v>
      </c>
      <c r="H25">
        <v>39</v>
      </c>
      <c r="I25" s="2">
        <v>57514</v>
      </c>
      <c r="Q25" s="1"/>
    </row>
    <row r="26" spans="1:17" x14ac:dyDescent="0.25">
      <c r="A26" s="4">
        <v>43405</v>
      </c>
      <c r="B26" t="s">
        <v>44</v>
      </c>
      <c r="C26" t="s">
        <v>4</v>
      </c>
      <c r="D26">
        <v>1</v>
      </c>
      <c r="E26">
        <v>1</v>
      </c>
      <c r="H26">
        <v>50</v>
      </c>
      <c r="I26" s="2">
        <v>15195</v>
      </c>
      <c r="P26" s="1"/>
      <c r="Q26" s="1"/>
    </row>
    <row r="27" spans="1:17" x14ac:dyDescent="0.25">
      <c r="A27" s="4">
        <v>43408</v>
      </c>
      <c r="B27" t="s">
        <v>43</v>
      </c>
      <c r="C27" t="s">
        <v>4</v>
      </c>
      <c r="D27">
        <v>0</v>
      </c>
      <c r="E27">
        <v>0</v>
      </c>
      <c r="F27">
        <v>0.6</v>
      </c>
      <c r="G27">
        <v>0.4</v>
      </c>
      <c r="H27">
        <v>52</v>
      </c>
      <c r="I27" s="2">
        <v>24882</v>
      </c>
      <c r="Q27" s="1"/>
    </row>
    <row r="28" spans="1:17" x14ac:dyDescent="0.25">
      <c r="A28" s="4">
        <v>43413</v>
      </c>
      <c r="B28" t="s">
        <v>44</v>
      </c>
      <c r="C28" t="s">
        <v>18</v>
      </c>
      <c r="D28">
        <v>3</v>
      </c>
      <c r="E28">
        <v>1</v>
      </c>
      <c r="F28">
        <v>1.2</v>
      </c>
      <c r="G28">
        <v>1.3</v>
      </c>
      <c r="H28">
        <v>53</v>
      </c>
      <c r="I28" s="2">
        <v>19890</v>
      </c>
    </row>
    <row r="29" spans="1:17" x14ac:dyDescent="0.25">
      <c r="A29" s="4">
        <v>43430</v>
      </c>
      <c r="B29" t="s">
        <v>43</v>
      </c>
      <c r="C29" t="s">
        <v>18</v>
      </c>
      <c r="D29">
        <v>2</v>
      </c>
      <c r="E29">
        <v>1</v>
      </c>
      <c r="F29">
        <v>1.9</v>
      </c>
      <c r="G29">
        <v>0.5</v>
      </c>
      <c r="H29">
        <v>49</v>
      </c>
      <c r="I29" s="2">
        <v>17744</v>
      </c>
    </row>
    <row r="30" spans="1:17" x14ac:dyDescent="0.25">
      <c r="A30" s="4">
        <v>43436</v>
      </c>
      <c r="B30" t="s">
        <v>44</v>
      </c>
      <c r="C30" t="s">
        <v>19</v>
      </c>
      <c r="D30">
        <v>0</v>
      </c>
      <c r="E30">
        <v>1</v>
      </c>
      <c r="F30">
        <v>1.3</v>
      </c>
      <c r="G30">
        <v>1.3</v>
      </c>
      <c r="H30">
        <v>43</v>
      </c>
      <c r="I30" s="2">
        <v>46562</v>
      </c>
      <c r="Q30" s="1"/>
    </row>
    <row r="31" spans="1:17" x14ac:dyDescent="0.25">
      <c r="A31" s="4">
        <v>43439</v>
      </c>
      <c r="B31" t="s">
        <v>43</v>
      </c>
      <c r="C31" t="s">
        <v>18</v>
      </c>
      <c r="D31">
        <v>2</v>
      </c>
      <c r="E31">
        <v>0</v>
      </c>
      <c r="H31">
        <v>39</v>
      </c>
      <c r="I31" s="2">
        <v>21336</v>
      </c>
      <c r="Q31" s="1"/>
    </row>
    <row r="32" spans="1:17" x14ac:dyDescent="0.25">
      <c r="A32" s="4">
        <v>43443</v>
      </c>
      <c r="B32" t="s">
        <v>43</v>
      </c>
      <c r="C32" t="s">
        <v>19</v>
      </c>
      <c r="D32">
        <v>1</v>
      </c>
      <c r="E32">
        <v>2</v>
      </c>
      <c r="F32">
        <v>2.4</v>
      </c>
      <c r="G32">
        <v>1</v>
      </c>
      <c r="H32">
        <v>68</v>
      </c>
      <c r="I32" s="2">
        <v>23260</v>
      </c>
      <c r="Q32" s="1"/>
    </row>
    <row r="33" spans="1:17" x14ac:dyDescent="0.25">
      <c r="A33" s="4">
        <v>43449</v>
      </c>
      <c r="B33" t="s">
        <v>44</v>
      </c>
      <c r="C33" t="s">
        <v>19</v>
      </c>
      <c r="D33">
        <v>0</v>
      </c>
      <c r="E33">
        <v>1</v>
      </c>
      <c r="F33">
        <v>0.8</v>
      </c>
      <c r="G33">
        <v>0.4</v>
      </c>
      <c r="H33">
        <v>71</v>
      </c>
      <c r="I33" s="2">
        <v>9018</v>
      </c>
      <c r="P33" s="1"/>
    </row>
    <row r="34" spans="1:17" x14ac:dyDescent="0.25">
      <c r="A34" s="4">
        <v>43455</v>
      </c>
      <c r="B34" t="s">
        <v>43</v>
      </c>
      <c r="C34" t="s">
        <v>19</v>
      </c>
      <c r="D34">
        <v>0</v>
      </c>
      <c r="E34">
        <v>1</v>
      </c>
      <c r="F34">
        <v>1.1000000000000001</v>
      </c>
      <c r="G34">
        <v>0.8</v>
      </c>
      <c r="H34">
        <v>67</v>
      </c>
      <c r="I34" s="2">
        <v>22431</v>
      </c>
      <c r="Q34" s="1"/>
    </row>
    <row r="35" spans="1:17" x14ac:dyDescent="0.25">
      <c r="A35" s="4">
        <v>43471</v>
      </c>
      <c r="B35" t="s">
        <v>44</v>
      </c>
      <c r="C35" t="s">
        <v>18</v>
      </c>
      <c r="D35">
        <v>2</v>
      </c>
      <c r="E35">
        <v>0</v>
      </c>
      <c r="F35">
        <v>2.2999999999999998</v>
      </c>
      <c r="G35">
        <v>2.6</v>
      </c>
      <c r="H35">
        <v>41</v>
      </c>
      <c r="I35" s="2">
        <v>53412</v>
      </c>
      <c r="P35" s="1"/>
      <c r="Q35" s="1"/>
    </row>
    <row r="36" spans="1:17" x14ac:dyDescent="0.25">
      <c r="A36" s="4">
        <v>43475</v>
      </c>
      <c r="B36" t="s">
        <v>44</v>
      </c>
      <c r="C36" t="s">
        <v>4</v>
      </c>
      <c r="D36">
        <v>0</v>
      </c>
      <c r="E36">
        <v>0</v>
      </c>
      <c r="H36">
        <v>37</v>
      </c>
      <c r="I36" s="2">
        <v>26273</v>
      </c>
    </row>
    <row r="37" spans="1:17" x14ac:dyDescent="0.25">
      <c r="A37" s="4">
        <v>43479</v>
      </c>
      <c r="B37" t="s">
        <v>43</v>
      </c>
      <c r="C37" t="s">
        <v>18</v>
      </c>
      <c r="D37">
        <v>3</v>
      </c>
      <c r="E37">
        <v>2</v>
      </c>
      <c r="F37">
        <v>2.6</v>
      </c>
      <c r="G37">
        <v>2.1</v>
      </c>
      <c r="H37">
        <v>41</v>
      </c>
      <c r="I37" s="2">
        <v>17301</v>
      </c>
      <c r="Q37" s="1"/>
    </row>
    <row r="38" spans="1:17" x14ac:dyDescent="0.25">
      <c r="A38" s="4">
        <v>43482</v>
      </c>
      <c r="B38" t="s">
        <v>43</v>
      </c>
      <c r="C38" t="s">
        <v>4</v>
      </c>
      <c r="D38">
        <v>2</v>
      </c>
      <c r="E38">
        <v>2</v>
      </c>
      <c r="H38">
        <v>54</v>
      </c>
      <c r="I38" s="2">
        <v>21090</v>
      </c>
    </row>
    <row r="39" spans="1:17" x14ac:dyDescent="0.25">
      <c r="A39" s="4">
        <v>43485</v>
      </c>
      <c r="B39" t="s">
        <v>44</v>
      </c>
      <c r="C39" t="s">
        <v>4</v>
      </c>
      <c r="D39">
        <v>2</v>
      </c>
      <c r="E39">
        <v>2</v>
      </c>
      <c r="F39">
        <v>1.6</v>
      </c>
      <c r="G39">
        <v>0.9</v>
      </c>
      <c r="H39">
        <v>64</v>
      </c>
      <c r="I39" s="2">
        <v>12562</v>
      </c>
    </row>
    <row r="40" spans="1:17" x14ac:dyDescent="0.25">
      <c r="A40" s="4">
        <v>43492</v>
      </c>
      <c r="B40" t="s">
        <v>43</v>
      </c>
      <c r="C40" t="s">
        <v>4</v>
      </c>
      <c r="D40">
        <v>0</v>
      </c>
      <c r="E40">
        <v>0</v>
      </c>
      <c r="F40">
        <v>0.4</v>
      </c>
      <c r="G40">
        <v>0.4</v>
      </c>
      <c r="H40">
        <v>68</v>
      </c>
      <c r="I40" s="2">
        <v>21252</v>
      </c>
      <c r="P40" s="1"/>
      <c r="Q40" s="1"/>
    </row>
    <row r="41" spans="1:17" x14ac:dyDescent="0.25">
      <c r="A41" s="4">
        <v>43498</v>
      </c>
      <c r="B41" t="s">
        <v>43</v>
      </c>
      <c r="C41" t="s">
        <v>18</v>
      </c>
      <c r="D41">
        <v>2</v>
      </c>
      <c r="E41">
        <v>1</v>
      </c>
      <c r="F41">
        <v>1.5</v>
      </c>
      <c r="G41">
        <v>1.4</v>
      </c>
      <c r="H41">
        <v>47</v>
      </c>
      <c r="I41" s="2">
        <v>27073</v>
      </c>
      <c r="P41" s="1"/>
      <c r="Q41" s="1"/>
    </row>
    <row r="42" spans="1:17" x14ac:dyDescent="0.25">
      <c r="A42" s="4">
        <v>43506</v>
      </c>
      <c r="B42" t="s">
        <v>44</v>
      </c>
      <c r="C42" t="s">
        <v>4</v>
      </c>
      <c r="D42">
        <v>0</v>
      </c>
      <c r="E42">
        <v>0</v>
      </c>
      <c r="F42">
        <v>0.5</v>
      </c>
      <c r="G42">
        <v>1.5</v>
      </c>
      <c r="H42">
        <v>58</v>
      </c>
      <c r="I42" s="2">
        <v>38885</v>
      </c>
      <c r="P42" s="1"/>
    </row>
    <row r="43" spans="1:17" x14ac:dyDescent="0.25">
      <c r="A43" s="4">
        <v>43512</v>
      </c>
      <c r="B43" t="s">
        <v>43</v>
      </c>
      <c r="C43" t="s">
        <v>18</v>
      </c>
      <c r="D43">
        <v>3</v>
      </c>
      <c r="E43">
        <v>0</v>
      </c>
      <c r="F43">
        <v>1.7</v>
      </c>
      <c r="G43">
        <v>1.2</v>
      </c>
      <c r="H43">
        <v>61</v>
      </c>
      <c r="I43" s="2">
        <v>22997</v>
      </c>
      <c r="P43" s="1"/>
    </row>
    <row r="44" spans="1:17" x14ac:dyDescent="0.25">
      <c r="A44" s="4">
        <v>43521</v>
      </c>
      <c r="B44" t="s">
        <v>44</v>
      </c>
      <c r="C44" t="s">
        <v>4</v>
      </c>
      <c r="D44">
        <v>0</v>
      </c>
      <c r="E44">
        <v>0</v>
      </c>
      <c r="F44">
        <v>0.5</v>
      </c>
      <c r="G44">
        <v>1</v>
      </c>
      <c r="H44">
        <v>54</v>
      </c>
      <c r="I44" s="2">
        <v>10170</v>
      </c>
      <c r="Q44" s="1"/>
    </row>
    <row r="45" spans="1:17" x14ac:dyDescent="0.25">
      <c r="A45" s="4">
        <v>43527</v>
      </c>
      <c r="B45" t="s">
        <v>43</v>
      </c>
      <c r="C45" t="s">
        <v>19</v>
      </c>
      <c r="D45">
        <v>0</v>
      </c>
      <c r="E45">
        <v>2</v>
      </c>
      <c r="F45">
        <v>0.9</v>
      </c>
      <c r="G45">
        <v>1.4</v>
      </c>
      <c r="H45">
        <v>61</v>
      </c>
      <c r="I45" s="2">
        <v>26004</v>
      </c>
      <c r="P45" s="1"/>
      <c r="Q45" s="1"/>
    </row>
    <row r="46" spans="1:17" x14ac:dyDescent="0.25">
      <c r="A46" s="4">
        <v>43534</v>
      </c>
      <c r="B46" t="s">
        <v>44</v>
      </c>
      <c r="C46" t="s">
        <v>19</v>
      </c>
      <c r="D46">
        <v>2</v>
      </c>
      <c r="E46">
        <v>5</v>
      </c>
      <c r="F46">
        <v>1.2</v>
      </c>
      <c r="G46">
        <v>2.4</v>
      </c>
      <c r="H46">
        <v>51</v>
      </c>
      <c r="I46" s="2">
        <v>35813</v>
      </c>
    </row>
    <row r="47" spans="1:17" x14ac:dyDescent="0.25">
      <c r="A47" s="4">
        <v>43539</v>
      </c>
      <c r="B47" t="s">
        <v>43</v>
      </c>
      <c r="C47" t="s">
        <v>4</v>
      </c>
      <c r="D47">
        <v>1</v>
      </c>
      <c r="E47">
        <v>1</v>
      </c>
      <c r="F47">
        <v>2.9</v>
      </c>
      <c r="G47">
        <v>1.3</v>
      </c>
      <c r="H47">
        <v>58</v>
      </c>
      <c r="I47" s="2">
        <v>20605</v>
      </c>
      <c r="Q47" s="1"/>
    </row>
    <row r="48" spans="1:17" x14ac:dyDescent="0.25">
      <c r="A48" s="4">
        <v>43555</v>
      </c>
      <c r="B48" t="s">
        <v>44</v>
      </c>
      <c r="C48" t="s">
        <v>4</v>
      </c>
      <c r="D48">
        <v>1</v>
      </c>
      <c r="E48">
        <v>1</v>
      </c>
      <c r="F48">
        <v>0.9</v>
      </c>
      <c r="G48">
        <v>2.5</v>
      </c>
      <c r="H48">
        <v>59</v>
      </c>
      <c r="I48" s="2">
        <v>18775</v>
      </c>
      <c r="Q48" s="1"/>
    </row>
    <row r="49" spans="1:17" x14ac:dyDescent="0.25">
      <c r="A49" s="4">
        <v>43559</v>
      </c>
      <c r="B49" t="s">
        <v>43</v>
      </c>
      <c r="C49" t="s">
        <v>18</v>
      </c>
      <c r="D49">
        <v>2</v>
      </c>
      <c r="E49">
        <v>1</v>
      </c>
      <c r="F49">
        <v>2.5</v>
      </c>
      <c r="G49">
        <v>1.3</v>
      </c>
      <c r="H49">
        <v>37</v>
      </c>
      <c r="I49" s="2">
        <v>16417</v>
      </c>
      <c r="Q49" s="1"/>
    </row>
    <row r="50" spans="1:17" x14ac:dyDescent="0.25">
      <c r="A50" s="4">
        <v>43562</v>
      </c>
      <c r="B50" t="s">
        <v>44</v>
      </c>
      <c r="C50" t="s">
        <v>19</v>
      </c>
      <c r="D50">
        <v>1</v>
      </c>
      <c r="E50">
        <v>3</v>
      </c>
      <c r="F50">
        <v>1.4</v>
      </c>
      <c r="G50">
        <v>3</v>
      </c>
      <c r="H50">
        <v>52</v>
      </c>
      <c r="I50" s="2">
        <v>20519</v>
      </c>
      <c r="Q50" s="1"/>
    </row>
    <row r="51" spans="1:17" x14ac:dyDescent="0.25">
      <c r="A51" s="4">
        <v>43569</v>
      </c>
      <c r="B51" t="s">
        <v>43</v>
      </c>
      <c r="C51" t="s">
        <v>4</v>
      </c>
      <c r="D51">
        <v>1</v>
      </c>
      <c r="E51">
        <v>1</v>
      </c>
      <c r="F51">
        <v>0.4</v>
      </c>
      <c r="G51">
        <v>1.5</v>
      </c>
      <c r="H51">
        <v>38</v>
      </c>
      <c r="I51" s="2">
        <v>24308</v>
      </c>
    </row>
    <row r="52" spans="1:17" x14ac:dyDescent="0.25">
      <c r="A52" s="4">
        <v>43575</v>
      </c>
      <c r="B52" t="s">
        <v>44</v>
      </c>
      <c r="C52" t="s">
        <v>19</v>
      </c>
      <c r="D52">
        <v>1</v>
      </c>
      <c r="E52">
        <v>2</v>
      </c>
      <c r="F52">
        <v>1.5</v>
      </c>
      <c r="G52">
        <v>1.1000000000000001</v>
      </c>
      <c r="H52">
        <v>50</v>
      </c>
      <c r="I52" s="2">
        <v>75470</v>
      </c>
    </row>
    <row r="53" spans="1:17" x14ac:dyDescent="0.25">
      <c r="A53" s="4">
        <v>43580</v>
      </c>
      <c r="B53" t="s">
        <v>43</v>
      </c>
      <c r="C53" t="s">
        <v>19</v>
      </c>
      <c r="D53">
        <v>0</v>
      </c>
      <c r="E53">
        <v>1</v>
      </c>
      <c r="F53">
        <v>0.8</v>
      </c>
      <c r="G53">
        <v>0.7</v>
      </c>
      <c r="H53">
        <v>64</v>
      </c>
      <c r="I53" s="2">
        <v>20060</v>
      </c>
    </row>
    <row r="54" spans="1:17" x14ac:dyDescent="0.25">
      <c r="A54" s="4">
        <v>43583</v>
      </c>
      <c r="B54" t="s">
        <v>43</v>
      </c>
      <c r="C54" t="s">
        <v>18</v>
      </c>
      <c r="D54">
        <v>2</v>
      </c>
      <c r="E54">
        <v>1</v>
      </c>
      <c r="F54">
        <v>2.4</v>
      </c>
      <c r="G54">
        <v>0.6</v>
      </c>
      <c r="H54">
        <v>50</v>
      </c>
      <c r="I54" s="2">
        <v>19386</v>
      </c>
    </row>
    <row r="55" spans="1:17" x14ac:dyDescent="0.25">
      <c r="A55" s="4">
        <v>43589</v>
      </c>
      <c r="B55" t="s">
        <v>44</v>
      </c>
      <c r="C55" t="s">
        <v>18</v>
      </c>
      <c r="D55">
        <v>1</v>
      </c>
      <c r="E55">
        <v>0</v>
      </c>
      <c r="F55">
        <v>0.8</v>
      </c>
      <c r="G55">
        <v>0.8</v>
      </c>
      <c r="H55">
        <v>49</v>
      </c>
      <c r="I55" s="2">
        <v>18509</v>
      </c>
    </row>
    <row r="56" spans="1:17" x14ac:dyDescent="0.25">
      <c r="A56" s="4">
        <v>43597</v>
      </c>
      <c r="B56" t="s">
        <v>43</v>
      </c>
      <c r="C56" t="s">
        <v>18</v>
      </c>
      <c r="D56">
        <v>3</v>
      </c>
      <c r="E56">
        <v>1</v>
      </c>
      <c r="F56">
        <v>2.1</v>
      </c>
      <c r="G56">
        <v>0.9</v>
      </c>
      <c r="H56">
        <v>54</v>
      </c>
      <c r="I56" s="2">
        <v>27322</v>
      </c>
    </row>
    <row r="57" spans="1:17" s="11" customFormat="1" x14ac:dyDescent="0.25">
      <c r="A57" s="13">
        <v>43603</v>
      </c>
      <c r="B57" s="11" t="s">
        <v>44</v>
      </c>
      <c r="C57" s="11" t="s">
        <v>19</v>
      </c>
      <c r="D57" s="11">
        <v>0</v>
      </c>
      <c r="E57" s="11">
        <v>2</v>
      </c>
      <c r="F57" s="11">
        <v>0.4</v>
      </c>
      <c r="G57" s="11">
        <v>1.4</v>
      </c>
      <c r="H57" s="11">
        <v>62</v>
      </c>
      <c r="I57" s="51">
        <v>26568</v>
      </c>
    </row>
    <row r="58" spans="1:17" x14ac:dyDescent="0.25">
      <c r="A58" s="4">
        <v>43694</v>
      </c>
      <c r="B58" t="s">
        <v>44</v>
      </c>
      <c r="C58" t="s">
        <v>4</v>
      </c>
      <c r="D58">
        <v>1</v>
      </c>
      <c r="E58">
        <v>1</v>
      </c>
      <c r="F58">
        <v>1.8</v>
      </c>
      <c r="G58">
        <v>2.2999999999999998</v>
      </c>
      <c r="H58">
        <v>63</v>
      </c>
      <c r="I58" s="2">
        <v>41846</v>
      </c>
    </row>
    <row r="59" spans="1:17" x14ac:dyDescent="0.25">
      <c r="A59" s="4">
        <v>43702</v>
      </c>
      <c r="B59" t="s">
        <v>44</v>
      </c>
      <c r="C59" t="s">
        <v>18</v>
      </c>
      <c r="D59">
        <v>1</v>
      </c>
      <c r="E59">
        <v>0</v>
      </c>
      <c r="F59">
        <v>1.6</v>
      </c>
      <c r="G59">
        <v>1</v>
      </c>
      <c r="H59">
        <v>64</v>
      </c>
      <c r="I59" s="2">
        <v>18028</v>
      </c>
    </row>
    <row r="60" spans="1:17" x14ac:dyDescent="0.25">
      <c r="A60" s="4">
        <v>43707</v>
      </c>
      <c r="B60" t="s">
        <v>44</v>
      </c>
      <c r="C60" t="s">
        <v>19</v>
      </c>
      <c r="D60">
        <v>0</v>
      </c>
      <c r="E60">
        <v>2</v>
      </c>
      <c r="F60">
        <v>0.2</v>
      </c>
      <c r="G60">
        <v>1</v>
      </c>
      <c r="H60">
        <v>60</v>
      </c>
      <c r="I60" s="2">
        <v>46697</v>
      </c>
    </row>
    <row r="61" spans="1:17" x14ac:dyDescent="0.25">
      <c r="A61" s="47">
        <v>43722</v>
      </c>
      <c r="B61" s="48" t="s">
        <v>43</v>
      </c>
      <c r="C61" s="48" t="s">
        <v>18</v>
      </c>
      <c r="D61" s="48">
        <v>2</v>
      </c>
      <c r="E61" s="48">
        <v>0</v>
      </c>
      <c r="F61" s="48">
        <v>2.1</v>
      </c>
      <c r="G61" s="48">
        <v>1.2</v>
      </c>
      <c r="H61" s="48">
        <v>54</v>
      </c>
      <c r="I61" s="49">
        <v>34719</v>
      </c>
    </row>
    <row r="62" spans="1:17" x14ac:dyDescent="0.25">
      <c r="A62" s="4">
        <v>43730</v>
      </c>
      <c r="B62" t="s">
        <v>44</v>
      </c>
      <c r="C62" t="s">
        <v>18</v>
      </c>
      <c r="D62">
        <v>3</v>
      </c>
      <c r="E62">
        <v>1</v>
      </c>
      <c r="F62">
        <v>1.3</v>
      </c>
      <c r="G62">
        <v>0.9</v>
      </c>
      <c r="H62">
        <v>44</v>
      </c>
      <c r="I62" s="2">
        <v>19173</v>
      </c>
    </row>
    <row r="63" spans="1:17" x14ac:dyDescent="0.25">
      <c r="A63" s="47">
        <v>43734</v>
      </c>
      <c r="B63" s="48" t="s">
        <v>43</v>
      </c>
      <c r="C63" s="48" t="s">
        <v>18</v>
      </c>
      <c r="D63" s="48">
        <v>3</v>
      </c>
      <c r="E63" s="48">
        <v>0</v>
      </c>
      <c r="F63" s="48">
        <v>3.8</v>
      </c>
      <c r="G63" s="48">
        <v>0.3</v>
      </c>
      <c r="H63" s="48">
        <v>59</v>
      </c>
      <c r="I63" s="49">
        <v>28720</v>
      </c>
    </row>
    <row r="64" spans="1:17" x14ac:dyDescent="0.25">
      <c r="A64" s="4">
        <v>43737</v>
      </c>
      <c r="B64" t="s">
        <v>44</v>
      </c>
      <c r="C64" t="s">
        <v>19</v>
      </c>
      <c r="D64">
        <v>2</v>
      </c>
      <c r="E64">
        <v>3</v>
      </c>
      <c r="F64">
        <v>0.8</v>
      </c>
      <c r="G64">
        <v>1.7</v>
      </c>
      <c r="H64">
        <v>48</v>
      </c>
      <c r="I64" s="2">
        <v>37414</v>
      </c>
    </row>
    <row r="65" spans="1:9" x14ac:dyDescent="0.25">
      <c r="A65" s="47">
        <v>43744</v>
      </c>
      <c r="B65" s="48" t="s">
        <v>43</v>
      </c>
      <c r="C65" s="48" t="s">
        <v>19</v>
      </c>
      <c r="D65" s="48">
        <v>1</v>
      </c>
      <c r="E65" s="48">
        <v>2</v>
      </c>
      <c r="F65" s="48">
        <v>0.6</v>
      </c>
      <c r="G65" s="48">
        <v>0.9</v>
      </c>
      <c r="H65" s="48">
        <v>50</v>
      </c>
      <c r="I65" s="49">
        <v>30153</v>
      </c>
    </row>
    <row r="66" spans="1:9" x14ac:dyDescent="0.25">
      <c r="A66" s="4">
        <v>43758</v>
      </c>
      <c r="B66" t="s">
        <v>43</v>
      </c>
      <c r="C66" t="s">
        <v>18</v>
      </c>
      <c r="D66">
        <v>3</v>
      </c>
      <c r="E66">
        <v>1</v>
      </c>
      <c r="F66">
        <v>1.4</v>
      </c>
      <c r="G66">
        <v>1</v>
      </c>
      <c r="H66">
        <v>51</v>
      </c>
      <c r="I66" s="2">
        <v>28032</v>
      </c>
    </row>
    <row r="67" spans="1:9" x14ac:dyDescent="0.25">
      <c r="A67" s="4">
        <v>43765</v>
      </c>
      <c r="B67" t="s">
        <v>44</v>
      </c>
      <c r="C67" t="s">
        <v>18</v>
      </c>
      <c r="D67">
        <v>1</v>
      </c>
      <c r="E67">
        <v>0</v>
      </c>
      <c r="F67">
        <v>0.8</v>
      </c>
      <c r="G67">
        <v>0.9</v>
      </c>
      <c r="H67">
        <v>58</v>
      </c>
      <c r="I67" s="2">
        <v>18002</v>
      </c>
    </row>
    <row r="68" spans="1:9" x14ac:dyDescent="0.25">
      <c r="A68" s="47">
        <v>43768</v>
      </c>
      <c r="B68" s="48" t="s">
        <v>43</v>
      </c>
      <c r="C68" s="48" t="s">
        <v>19</v>
      </c>
      <c r="D68" s="48">
        <v>1</v>
      </c>
      <c r="E68" s="48">
        <v>2</v>
      </c>
      <c r="F68" s="48">
        <v>1.6</v>
      </c>
      <c r="G68" s="48">
        <v>1.8</v>
      </c>
      <c r="H68" s="48">
        <v>65</v>
      </c>
      <c r="I68" s="49">
        <v>28142</v>
      </c>
    </row>
    <row r="69" spans="1:9" x14ac:dyDescent="0.25">
      <c r="A69" s="4">
        <v>43772</v>
      </c>
      <c r="B69" t="s">
        <v>44</v>
      </c>
      <c r="C69" t="s">
        <v>18</v>
      </c>
      <c r="D69">
        <v>2</v>
      </c>
      <c r="E69">
        <v>1</v>
      </c>
      <c r="F69">
        <v>1</v>
      </c>
      <c r="G69">
        <v>0.2</v>
      </c>
      <c r="H69">
        <v>61</v>
      </c>
      <c r="I69" s="2">
        <v>16898</v>
      </c>
    </row>
    <row r="70" spans="1:9" x14ac:dyDescent="0.25">
      <c r="A70" s="47">
        <v>43777</v>
      </c>
      <c r="B70" s="48" t="s">
        <v>43</v>
      </c>
      <c r="C70" s="48" t="s">
        <v>4</v>
      </c>
      <c r="D70" s="48">
        <v>1</v>
      </c>
      <c r="E70" s="48">
        <v>1</v>
      </c>
      <c r="F70" s="48">
        <v>1.1000000000000001</v>
      </c>
      <c r="G70" s="48">
        <v>1</v>
      </c>
      <c r="H70" s="48">
        <v>65</v>
      </c>
      <c r="I70" s="49">
        <v>27684</v>
      </c>
    </row>
    <row r="71" spans="1:9" x14ac:dyDescent="0.25">
      <c r="A71" s="4">
        <v>43792</v>
      </c>
      <c r="B71" t="s">
        <v>44</v>
      </c>
      <c r="C71" t="s">
        <v>19</v>
      </c>
      <c r="D71">
        <v>1</v>
      </c>
      <c r="E71">
        <v>3</v>
      </c>
      <c r="F71">
        <v>1.6</v>
      </c>
      <c r="G71">
        <v>1.4</v>
      </c>
      <c r="H71">
        <v>46</v>
      </c>
      <c r="I71" s="2">
        <v>69305</v>
      </c>
    </row>
    <row r="72" spans="1:9" x14ac:dyDescent="0.25">
      <c r="A72" s="47">
        <v>43799</v>
      </c>
      <c r="B72" s="48" t="s">
        <v>43</v>
      </c>
      <c r="C72" s="48" t="s">
        <v>18</v>
      </c>
      <c r="D72" s="48">
        <v>4</v>
      </c>
      <c r="E72" s="48">
        <v>1</v>
      </c>
      <c r="F72" s="48">
        <v>1.1000000000000001</v>
      </c>
      <c r="G72" s="48">
        <v>0.6</v>
      </c>
      <c r="H72" s="48">
        <v>61</v>
      </c>
      <c r="I72" s="49">
        <v>28612</v>
      </c>
    </row>
    <row r="73" spans="1:9" x14ac:dyDescent="0.25">
      <c r="A73" s="4">
        <v>43807</v>
      </c>
      <c r="B73" t="s">
        <v>44</v>
      </c>
      <c r="C73" t="s">
        <v>4</v>
      </c>
      <c r="D73">
        <v>0</v>
      </c>
      <c r="E73">
        <v>0</v>
      </c>
      <c r="F73">
        <v>1.7</v>
      </c>
      <c r="G73">
        <v>0.6</v>
      </c>
      <c r="H73">
        <v>65</v>
      </c>
      <c r="I73" s="2">
        <v>18654</v>
      </c>
    </row>
    <row r="74" spans="1:9" x14ac:dyDescent="0.25">
      <c r="A74" s="47">
        <v>43813</v>
      </c>
      <c r="B74" s="48" t="s">
        <v>43</v>
      </c>
      <c r="C74" s="48" t="s">
        <v>4</v>
      </c>
      <c r="D74" s="48">
        <v>2</v>
      </c>
      <c r="E74" s="48">
        <v>2</v>
      </c>
      <c r="F74" s="48">
        <v>2.7</v>
      </c>
      <c r="G74" s="48">
        <v>1.2</v>
      </c>
      <c r="H74" s="48">
        <v>53</v>
      </c>
      <c r="I74" s="49">
        <v>36639</v>
      </c>
    </row>
    <row r="75" spans="1:9" x14ac:dyDescent="0.25">
      <c r="A75" s="4">
        <v>43818</v>
      </c>
      <c r="B75" t="s">
        <v>44</v>
      </c>
      <c r="C75" t="s">
        <v>18</v>
      </c>
      <c r="D75">
        <v>8</v>
      </c>
      <c r="E75">
        <v>0</v>
      </c>
    </row>
    <row r="76" spans="1:9" x14ac:dyDescent="0.25">
      <c r="A76" s="4">
        <v>43821</v>
      </c>
      <c r="B76" t="s">
        <v>44</v>
      </c>
      <c r="C76" t="s">
        <v>18</v>
      </c>
      <c r="D76">
        <v>4</v>
      </c>
      <c r="E76">
        <v>3</v>
      </c>
      <c r="F76">
        <v>2.2000000000000002</v>
      </c>
      <c r="G76">
        <v>3.4</v>
      </c>
      <c r="H76">
        <v>52</v>
      </c>
      <c r="I76" s="2">
        <v>16197</v>
      </c>
    </row>
    <row r="77" spans="1:9" x14ac:dyDescent="0.25">
      <c r="A77" s="47">
        <v>43835</v>
      </c>
      <c r="B77" s="48" t="s">
        <v>43</v>
      </c>
      <c r="C77" s="48" t="s">
        <v>19</v>
      </c>
      <c r="D77" s="48">
        <v>1</v>
      </c>
      <c r="E77" s="48">
        <v>2</v>
      </c>
      <c r="F77" s="48">
        <v>0.9</v>
      </c>
      <c r="G77" s="48">
        <v>1.4</v>
      </c>
      <c r="H77" s="48">
        <v>63</v>
      </c>
      <c r="I77" s="49">
        <v>31538</v>
      </c>
    </row>
    <row r="78" spans="1:9" x14ac:dyDescent="0.25">
      <c r="A78" s="4">
        <v>43842</v>
      </c>
      <c r="B78" t="s">
        <v>44</v>
      </c>
      <c r="C78" t="s">
        <v>18</v>
      </c>
      <c r="D78">
        <v>4</v>
      </c>
      <c r="E78">
        <v>0</v>
      </c>
    </row>
    <row r="79" spans="1:9" x14ac:dyDescent="0.25">
      <c r="A79" s="4">
        <v>43849</v>
      </c>
      <c r="B79" t="s">
        <v>44</v>
      </c>
      <c r="C79" t="s">
        <v>19</v>
      </c>
      <c r="D79">
        <v>0</v>
      </c>
      <c r="E79">
        <v>3</v>
      </c>
      <c r="F79">
        <v>0.3</v>
      </c>
      <c r="G79">
        <v>1.8</v>
      </c>
      <c r="H79">
        <v>52</v>
      </c>
      <c r="I79" s="2">
        <v>51171</v>
      </c>
    </row>
    <row r="80" spans="1:9" x14ac:dyDescent="0.25">
      <c r="A80" s="47">
        <v>43852</v>
      </c>
      <c r="B80" s="48" t="s">
        <v>43</v>
      </c>
      <c r="C80" s="48" t="s">
        <v>18</v>
      </c>
      <c r="D80" s="48">
        <v>2</v>
      </c>
      <c r="E80" s="48">
        <v>0</v>
      </c>
      <c r="F80" s="48"/>
      <c r="G80" s="48"/>
      <c r="H80" s="48">
        <v>62</v>
      </c>
      <c r="I80" s="49">
        <v>21647</v>
      </c>
    </row>
    <row r="81" spans="1:9" x14ac:dyDescent="0.25">
      <c r="A81" s="47">
        <v>43856</v>
      </c>
      <c r="B81" s="48" t="s">
        <v>43</v>
      </c>
      <c r="C81" s="48" t="s">
        <v>18</v>
      </c>
      <c r="D81" s="48">
        <v>3</v>
      </c>
      <c r="E81" s="48">
        <v>0</v>
      </c>
      <c r="F81" s="48">
        <v>2.5</v>
      </c>
      <c r="G81" s="48">
        <v>0.5</v>
      </c>
      <c r="H81" s="48">
        <v>69</v>
      </c>
      <c r="I81" s="49">
        <v>29912</v>
      </c>
    </row>
    <row r="82" spans="1:9" x14ac:dyDescent="0.25">
      <c r="A82" s="47">
        <v>43859</v>
      </c>
      <c r="B82" s="48" t="s">
        <v>43</v>
      </c>
      <c r="C82" s="48" t="s">
        <v>18</v>
      </c>
      <c r="D82" s="48">
        <v>3</v>
      </c>
      <c r="E82" s="48">
        <v>1</v>
      </c>
      <c r="F82" s="48"/>
      <c r="G82" s="48"/>
      <c r="H82" s="48">
        <v>60</v>
      </c>
      <c r="I82" s="49">
        <v>31236</v>
      </c>
    </row>
    <row r="83" spans="1:9" x14ac:dyDescent="0.25">
      <c r="A83" s="4">
        <v>43863</v>
      </c>
      <c r="B83" t="s">
        <v>44</v>
      </c>
      <c r="C83" t="s">
        <v>19</v>
      </c>
      <c r="D83">
        <v>1</v>
      </c>
      <c r="E83">
        <v>2</v>
      </c>
      <c r="F83">
        <v>0.2</v>
      </c>
      <c r="G83">
        <v>1.2</v>
      </c>
      <c r="H83">
        <v>55</v>
      </c>
      <c r="I83" s="2">
        <v>10842</v>
      </c>
    </row>
    <row r="84" spans="1:9" x14ac:dyDescent="0.25">
      <c r="A84" s="4">
        <v>43867</v>
      </c>
      <c r="B84" t="s">
        <v>44</v>
      </c>
      <c r="C84" t="s">
        <v>18</v>
      </c>
      <c r="D84">
        <v>4</v>
      </c>
      <c r="E84">
        <v>3</v>
      </c>
      <c r="H84">
        <v>35</v>
      </c>
      <c r="I84" s="2">
        <v>64012</v>
      </c>
    </row>
    <row r="85" spans="1:9" x14ac:dyDescent="0.25">
      <c r="A85" s="47">
        <v>43870</v>
      </c>
      <c r="B85" s="48" t="s">
        <v>43</v>
      </c>
      <c r="C85" s="48" t="s">
        <v>18</v>
      </c>
      <c r="D85" s="48">
        <v>2</v>
      </c>
      <c r="E85" s="48">
        <v>1</v>
      </c>
      <c r="F85" s="48">
        <v>2.2000000000000002</v>
      </c>
      <c r="G85" s="48">
        <v>0.8</v>
      </c>
      <c r="H85" s="48">
        <v>63</v>
      </c>
      <c r="I85" s="49">
        <v>36730</v>
      </c>
    </row>
    <row r="86" spans="1:9" x14ac:dyDescent="0.25">
      <c r="A86" s="47">
        <v>43874</v>
      </c>
      <c r="B86" s="48" t="s">
        <v>43</v>
      </c>
      <c r="C86" s="48" t="s">
        <v>18</v>
      </c>
      <c r="D86" s="48">
        <v>2</v>
      </c>
      <c r="E86" s="48">
        <v>1</v>
      </c>
      <c r="F86" s="48"/>
      <c r="G86" s="48"/>
      <c r="H86" s="48">
        <v>61</v>
      </c>
      <c r="I86" s="49">
        <v>35194</v>
      </c>
    </row>
    <row r="87" spans="1:9" x14ac:dyDescent="0.25">
      <c r="A87" s="47">
        <v>43883</v>
      </c>
      <c r="B87" s="48" t="s">
        <v>43</v>
      </c>
      <c r="C87" s="48" t="s">
        <v>18</v>
      </c>
      <c r="D87" s="48">
        <v>3</v>
      </c>
      <c r="E87" s="48">
        <v>0</v>
      </c>
      <c r="F87" s="48">
        <v>1.8</v>
      </c>
      <c r="G87" s="48">
        <v>0.3</v>
      </c>
      <c r="H87" s="48">
        <v>46</v>
      </c>
      <c r="I87" s="49">
        <v>31381</v>
      </c>
    </row>
    <row r="88" spans="1:9" x14ac:dyDescent="0.25">
      <c r="A88" s="47">
        <v>43889</v>
      </c>
      <c r="B88" s="48" t="s">
        <v>43</v>
      </c>
      <c r="C88" s="48" t="s">
        <v>18</v>
      </c>
      <c r="D88" s="48">
        <v>1</v>
      </c>
      <c r="E88" s="48">
        <v>0</v>
      </c>
      <c r="F88" s="48">
        <v>2</v>
      </c>
      <c r="G88" s="48">
        <v>0.8</v>
      </c>
      <c r="H88" s="48">
        <v>54</v>
      </c>
      <c r="I88" s="49">
        <v>30611</v>
      </c>
    </row>
    <row r="89" spans="1:9" x14ac:dyDescent="0.25">
      <c r="A89" s="4">
        <v>43894</v>
      </c>
      <c r="B89" t="s">
        <v>44</v>
      </c>
      <c r="C89" t="s">
        <v>18</v>
      </c>
      <c r="D89">
        <v>1</v>
      </c>
      <c r="E89">
        <v>0</v>
      </c>
      <c r="H89">
        <v>50</v>
      </c>
      <c r="I89" s="2">
        <v>5583</v>
      </c>
    </row>
    <row r="90" spans="1:9" x14ac:dyDescent="0.25">
      <c r="A90" s="4">
        <v>43897</v>
      </c>
      <c r="B90" t="s">
        <v>44</v>
      </c>
      <c r="C90" t="s">
        <v>19</v>
      </c>
      <c r="D90">
        <v>0</v>
      </c>
      <c r="E90">
        <v>1</v>
      </c>
      <c r="F90">
        <v>0.5</v>
      </c>
      <c r="G90">
        <v>2.2000000000000002</v>
      </c>
      <c r="H90">
        <v>46</v>
      </c>
      <c r="I90" s="2">
        <v>77035</v>
      </c>
    </row>
    <row r="91" spans="1:9" x14ac:dyDescent="0.25">
      <c r="A91" s="4">
        <v>43900</v>
      </c>
      <c r="B91" t="s">
        <v>44</v>
      </c>
      <c r="C91" t="s">
        <v>18</v>
      </c>
      <c r="D91">
        <v>2</v>
      </c>
      <c r="E91">
        <v>1</v>
      </c>
      <c r="F91">
        <v>1.2</v>
      </c>
      <c r="G91">
        <v>2</v>
      </c>
      <c r="H91">
        <v>43</v>
      </c>
      <c r="I91" s="2">
        <v>16898</v>
      </c>
    </row>
    <row r="92" spans="1:9" x14ac:dyDescent="0.25">
      <c r="A92" s="47">
        <v>43996</v>
      </c>
      <c r="B92" s="48" t="s">
        <v>43</v>
      </c>
      <c r="C92" s="48" t="s">
        <v>4</v>
      </c>
      <c r="D92" s="48">
        <v>1</v>
      </c>
      <c r="E92" s="48">
        <v>1</v>
      </c>
      <c r="F92" s="48">
        <v>1</v>
      </c>
      <c r="G92" s="48">
        <v>1.1000000000000001</v>
      </c>
      <c r="H92" s="48">
        <v>65</v>
      </c>
      <c r="I92" s="49">
        <v>27684</v>
      </c>
    </row>
    <row r="93" spans="1:9" x14ac:dyDescent="0.25">
      <c r="A93" s="4">
        <v>44000</v>
      </c>
      <c r="B93" t="s">
        <v>44</v>
      </c>
      <c r="C93" t="s">
        <v>19</v>
      </c>
      <c r="D93">
        <v>0</v>
      </c>
      <c r="E93">
        <v>2</v>
      </c>
      <c r="F93">
        <v>0.5</v>
      </c>
      <c r="G93">
        <v>1.5</v>
      </c>
      <c r="H93">
        <v>65</v>
      </c>
      <c r="I93" s="2">
        <v>18002</v>
      </c>
    </row>
    <row r="94" spans="1:9" x14ac:dyDescent="0.25">
      <c r="A94" s="47">
        <v>44003</v>
      </c>
      <c r="B94" s="48" t="s">
        <v>43</v>
      </c>
      <c r="C94" s="48" t="s">
        <v>19</v>
      </c>
      <c r="D94" s="48">
        <v>1</v>
      </c>
      <c r="E94" s="48">
        <v>2</v>
      </c>
      <c r="F94" s="48">
        <v>0.4</v>
      </c>
      <c r="G94" s="48">
        <v>1.3</v>
      </c>
      <c r="H94" s="48">
        <v>51</v>
      </c>
      <c r="I94" s="49">
        <v>28142</v>
      </c>
    </row>
    <row r="95" spans="1:9" x14ac:dyDescent="0.25">
      <c r="A95" s="47">
        <v>44006</v>
      </c>
      <c r="B95" s="48" t="s">
        <v>43</v>
      </c>
      <c r="C95" s="48" t="s">
        <v>19</v>
      </c>
      <c r="D95" s="48">
        <v>0</v>
      </c>
      <c r="E95" s="48">
        <v>1</v>
      </c>
      <c r="F95" s="48">
        <v>0.8</v>
      </c>
      <c r="G95" s="48">
        <v>0.9</v>
      </c>
      <c r="H95" s="48">
        <v>59</v>
      </c>
      <c r="I95" s="49">
        <v>21647</v>
      </c>
    </row>
    <row r="96" spans="1:9" x14ac:dyDescent="0.25">
      <c r="A96" s="4">
        <v>44011</v>
      </c>
      <c r="B96" t="s">
        <v>44</v>
      </c>
      <c r="C96" t="s">
        <v>19</v>
      </c>
      <c r="D96">
        <v>1</v>
      </c>
      <c r="E96">
        <v>2</v>
      </c>
      <c r="F96">
        <v>0.8</v>
      </c>
      <c r="G96">
        <v>1.4</v>
      </c>
      <c r="H96">
        <v>60</v>
      </c>
      <c r="I96" s="49">
        <v>29912</v>
      </c>
    </row>
    <row r="97" spans="1:9" x14ac:dyDescent="0.25">
      <c r="A97" s="47">
        <v>44014</v>
      </c>
      <c r="B97" s="48" t="s">
        <v>43</v>
      </c>
      <c r="C97" s="48" t="s">
        <v>18</v>
      </c>
      <c r="D97" s="48">
        <v>2</v>
      </c>
      <c r="E97" s="48">
        <v>1</v>
      </c>
      <c r="F97" s="48">
        <v>1.5</v>
      </c>
      <c r="G97" s="48">
        <v>0.2</v>
      </c>
      <c r="H97" s="48">
        <v>63</v>
      </c>
      <c r="I97" s="49">
        <v>31236</v>
      </c>
    </row>
    <row r="98" spans="1:9" x14ac:dyDescent="0.25">
      <c r="A98" s="4">
        <v>44018</v>
      </c>
      <c r="B98" t="s">
        <v>44</v>
      </c>
      <c r="C98" t="s">
        <v>4</v>
      </c>
      <c r="D98">
        <v>1</v>
      </c>
      <c r="E98">
        <v>1</v>
      </c>
      <c r="F98">
        <v>0.8</v>
      </c>
      <c r="G98">
        <v>1.1000000000000001</v>
      </c>
      <c r="H98">
        <v>55</v>
      </c>
      <c r="I98" s="2">
        <v>10842</v>
      </c>
    </row>
    <row r="99" spans="1:9" x14ac:dyDescent="0.25">
      <c r="A99" s="47">
        <v>44022</v>
      </c>
      <c r="B99" s="48" t="s">
        <v>43</v>
      </c>
      <c r="C99" s="48" t="s">
        <v>19</v>
      </c>
      <c r="D99" s="48">
        <v>2</v>
      </c>
      <c r="E99" s="48">
        <v>3</v>
      </c>
      <c r="F99" s="48">
        <v>1.5</v>
      </c>
      <c r="G99" s="48">
        <v>0.6</v>
      </c>
      <c r="H99" s="48">
        <v>67</v>
      </c>
      <c r="I99" s="2">
        <v>64012</v>
      </c>
    </row>
    <row r="100" spans="1:9" x14ac:dyDescent="0.25">
      <c r="A100" s="4">
        <v>44025</v>
      </c>
      <c r="B100" t="s">
        <v>44</v>
      </c>
      <c r="C100" t="s">
        <v>18</v>
      </c>
      <c r="D100">
        <v>2</v>
      </c>
      <c r="E100">
        <v>1</v>
      </c>
      <c r="F100">
        <v>1.3</v>
      </c>
      <c r="G100">
        <v>0.4</v>
      </c>
      <c r="H100">
        <v>48</v>
      </c>
      <c r="I100" s="49">
        <v>36730</v>
      </c>
    </row>
    <row r="101" spans="1:9" x14ac:dyDescent="0.25">
      <c r="A101" s="47">
        <v>44028</v>
      </c>
      <c r="B101" s="48" t="s">
        <v>43</v>
      </c>
      <c r="C101" s="48" t="s">
        <v>4</v>
      </c>
      <c r="D101" s="48">
        <v>0</v>
      </c>
      <c r="E101" s="48">
        <v>0</v>
      </c>
      <c r="F101" s="48">
        <v>0.8</v>
      </c>
      <c r="G101" s="48">
        <v>0.7</v>
      </c>
      <c r="H101" s="48">
        <v>38</v>
      </c>
      <c r="I101" s="49">
        <v>35194</v>
      </c>
    </row>
    <row r="102" spans="1:9" s="11" customFormat="1" x14ac:dyDescent="0.25">
      <c r="A102" s="13">
        <v>44031</v>
      </c>
      <c r="B102" s="11" t="s">
        <v>44</v>
      </c>
      <c r="C102" s="11" t="s">
        <v>4</v>
      </c>
      <c r="D102" s="11">
        <v>1</v>
      </c>
      <c r="E102" s="11">
        <v>1</v>
      </c>
      <c r="F102" s="11">
        <v>0.4</v>
      </c>
      <c r="G102" s="11">
        <v>1.6</v>
      </c>
      <c r="H102" s="11">
        <v>56</v>
      </c>
      <c r="I102" s="52">
        <v>31381</v>
      </c>
    </row>
    <row r="103" spans="1:9" x14ac:dyDescent="0.25">
      <c r="A103" s="4">
        <v>44087</v>
      </c>
      <c r="B103" t="s">
        <v>44</v>
      </c>
      <c r="C103" t="s">
        <v>4</v>
      </c>
      <c r="D103">
        <v>1</v>
      </c>
      <c r="E103">
        <v>1</v>
      </c>
      <c r="F103">
        <v>0.3</v>
      </c>
      <c r="G103">
        <v>0.8</v>
      </c>
      <c r="H103">
        <v>60</v>
      </c>
      <c r="I103" s="2">
        <v>41846</v>
      </c>
    </row>
    <row r="104" spans="1:9" x14ac:dyDescent="0.25">
      <c r="A104" s="4">
        <v>44094</v>
      </c>
      <c r="B104" t="s">
        <v>43</v>
      </c>
      <c r="C104" t="s">
        <v>4</v>
      </c>
      <c r="D104">
        <v>0</v>
      </c>
      <c r="E104">
        <v>0</v>
      </c>
      <c r="F104">
        <v>0.6</v>
      </c>
      <c r="G104">
        <v>0.9</v>
      </c>
      <c r="H104">
        <v>32</v>
      </c>
      <c r="I104" s="2">
        <v>18028</v>
      </c>
    </row>
    <row r="105" spans="1:9" x14ac:dyDescent="0.25">
      <c r="A105" s="4">
        <v>44100</v>
      </c>
      <c r="B105" t="s">
        <v>44</v>
      </c>
      <c r="C105" t="s">
        <v>18</v>
      </c>
      <c r="D105">
        <v>3</v>
      </c>
      <c r="E105">
        <v>0</v>
      </c>
      <c r="F105">
        <v>3.1</v>
      </c>
      <c r="G105">
        <v>1</v>
      </c>
      <c r="H105">
        <v>60</v>
      </c>
      <c r="I105" s="2">
        <v>46697</v>
      </c>
    </row>
    <row r="106" spans="1:9" x14ac:dyDescent="0.25">
      <c r="A106" s="4">
        <v>44103</v>
      </c>
      <c r="B106" t="s">
        <v>43</v>
      </c>
      <c r="C106" t="s">
        <v>19</v>
      </c>
      <c r="D106">
        <v>0</v>
      </c>
      <c r="E106">
        <v>1</v>
      </c>
      <c r="F106">
        <v>0.5</v>
      </c>
      <c r="G106">
        <v>0.9</v>
      </c>
      <c r="H106">
        <v>65</v>
      </c>
      <c r="I106" s="49">
        <v>34719</v>
      </c>
    </row>
    <row r="107" spans="1:9" x14ac:dyDescent="0.25">
      <c r="A107" s="4">
        <v>44107</v>
      </c>
      <c r="B107" t="s">
        <v>43</v>
      </c>
      <c r="C107" t="s">
        <v>18</v>
      </c>
      <c r="D107">
        <v>3</v>
      </c>
      <c r="E107">
        <v>0</v>
      </c>
      <c r="F107">
        <v>2.2000000000000002</v>
      </c>
      <c r="G107">
        <v>0.3</v>
      </c>
      <c r="H107">
        <v>54</v>
      </c>
      <c r="I107" s="2">
        <v>19173</v>
      </c>
    </row>
    <row r="108" spans="1:9" x14ac:dyDescent="0.25">
      <c r="A108" s="4">
        <v>44122</v>
      </c>
      <c r="B108" t="s">
        <v>44</v>
      </c>
      <c r="C108" t="s">
        <v>18</v>
      </c>
      <c r="D108">
        <v>3</v>
      </c>
      <c r="E108">
        <v>0</v>
      </c>
      <c r="F108">
        <v>1.7</v>
      </c>
      <c r="G108">
        <v>0.4</v>
      </c>
      <c r="H108">
        <v>45</v>
      </c>
      <c r="I108" s="49">
        <v>28720</v>
      </c>
    </row>
    <row r="109" spans="1:9" x14ac:dyDescent="0.25">
      <c r="A109" s="4">
        <v>44126</v>
      </c>
      <c r="B109" t="s">
        <v>44</v>
      </c>
      <c r="C109" t="s">
        <v>18</v>
      </c>
      <c r="D109">
        <v>1</v>
      </c>
      <c r="E109">
        <v>0</v>
      </c>
      <c r="F109">
        <v>2.1</v>
      </c>
      <c r="G109">
        <v>0.7</v>
      </c>
      <c r="H109">
        <v>66</v>
      </c>
      <c r="I109" s="2">
        <v>37414</v>
      </c>
    </row>
    <row r="110" spans="1:9" x14ac:dyDescent="0.25">
      <c r="A110" s="4">
        <v>44129</v>
      </c>
      <c r="B110" t="s">
        <v>43</v>
      </c>
      <c r="C110" t="s">
        <v>18</v>
      </c>
      <c r="D110">
        <v>4</v>
      </c>
      <c r="E110">
        <v>1</v>
      </c>
      <c r="F110">
        <v>2.5</v>
      </c>
      <c r="G110">
        <v>0.5</v>
      </c>
      <c r="H110">
        <v>51</v>
      </c>
      <c r="I110" s="49">
        <v>30153</v>
      </c>
    </row>
    <row r="111" spans="1:9" x14ac:dyDescent="0.25">
      <c r="A111" s="4">
        <v>44133</v>
      </c>
      <c r="B111" t="s">
        <v>43</v>
      </c>
      <c r="C111" t="s">
        <v>19</v>
      </c>
      <c r="D111">
        <v>0</v>
      </c>
      <c r="E111">
        <v>1</v>
      </c>
      <c r="F111">
        <v>1.4</v>
      </c>
      <c r="G111">
        <v>1.1000000000000001</v>
      </c>
      <c r="H111">
        <v>66</v>
      </c>
      <c r="I111" s="2">
        <v>28032</v>
      </c>
    </row>
    <row r="112" spans="1:9" x14ac:dyDescent="0.25">
      <c r="A112" s="4">
        <v>44136</v>
      </c>
      <c r="B112" t="s">
        <v>44</v>
      </c>
      <c r="C112" t="s">
        <v>18</v>
      </c>
      <c r="D112">
        <v>4</v>
      </c>
      <c r="E112">
        <v>1</v>
      </c>
      <c r="F112">
        <v>2</v>
      </c>
      <c r="G112">
        <v>1.6</v>
      </c>
      <c r="H112">
        <v>54</v>
      </c>
      <c r="I112" s="2">
        <v>18002</v>
      </c>
    </row>
    <row r="113" spans="1:9" x14ac:dyDescent="0.25">
      <c r="A113" s="4">
        <v>44140</v>
      </c>
      <c r="B113" t="s">
        <v>43</v>
      </c>
      <c r="C113" t="s">
        <v>18</v>
      </c>
      <c r="D113">
        <v>1</v>
      </c>
      <c r="E113">
        <v>0</v>
      </c>
      <c r="F113">
        <v>4.5</v>
      </c>
      <c r="G113">
        <v>0.2</v>
      </c>
      <c r="H113">
        <v>66</v>
      </c>
      <c r="I113" s="49">
        <v>28142</v>
      </c>
    </row>
    <row r="114" spans="1:9" x14ac:dyDescent="0.25">
      <c r="A114" s="4">
        <v>44143</v>
      </c>
      <c r="B114" t="s">
        <v>43</v>
      </c>
      <c r="C114" t="s">
        <v>18</v>
      </c>
      <c r="D114">
        <v>2</v>
      </c>
      <c r="E114">
        <v>0</v>
      </c>
      <c r="F114">
        <v>3.4</v>
      </c>
      <c r="G114">
        <v>0.8</v>
      </c>
      <c r="H114">
        <v>72</v>
      </c>
      <c r="I114" s="2">
        <v>16898</v>
      </c>
    </row>
    <row r="115" spans="1:9" x14ac:dyDescent="0.25">
      <c r="A115" s="4">
        <v>44157</v>
      </c>
      <c r="B115" t="s">
        <v>44</v>
      </c>
      <c r="C115" t="s">
        <v>18</v>
      </c>
      <c r="D115">
        <v>1</v>
      </c>
      <c r="E115">
        <v>0</v>
      </c>
      <c r="F115">
        <v>1.2</v>
      </c>
      <c r="G115">
        <v>0.1</v>
      </c>
      <c r="H115">
        <v>67</v>
      </c>
      <c r="I115" s="49">
        <v>27684</v>
      </c>
    </row>
    <row r="116" spans="1:9" x14ac:dyDescent="0.25">
      <c r="A116" s="4">
        <v>44161</v>
      </c>
      <c r="B116" t="s">
        <v>44</v>
      </c>
      <c r="C116" t="s">
        <v>4</v>
      </c>
      <c r="D116">
        <v>0</v>
      </c>
      <c r="E116">
        <v>0</v>
      </c>
      <c r="F116">
        <v>0.9</v>
      </c>
      <c r="G116">
        <v>1</v>
      </c>
      <c r="H116">
        <v>57</v>
      </c>
      <c r="I116" s="2">
        <v>69305</v>
      </c>
    </row>
    <row r="117" spans="1:9" x14ac:dyDescent="0.25">
      <c r="A117" s="4">
        <v>44164</v>
      </c>
      <c r="B117" t="s">
        <v>43</v>
      </c>
      <c r="C117" t="s">
        <v>4</v>
      </c>
      <c r="D117">
        <v>1</v>
      </c>
      <c r="E117">
        <v>1</v>
      </c>
      <c r="F117">
        <v>1.7</v>
      </c>
      <c r="G117">
        <v>1.2</v>
      </c>
      <c r="H117">
        <v>55</v>
      </c>
      <c r="I117" s="49">
        <v>28612</v>
      </c>
    </row>
    <row r="118" spans="1:9" x14ac:dyDescent="0.25">
      <c r="A118" s="4">
        <v>44168</v>
      </c>
      <c r="B118" t="s">
        <v>43</v>
      </c>
      <c r="C118" t="s">
        <v>4</v>
      </c>
      <c r="D118">
        <v>2</v>
      </c>
      <c r="E118">
        <v>2</v>
      </c>
      <c r="F118">
        <v>2.8</v>
      </c>
      <c r="G118">
        <v>1.3</v>
      </c>
      <c r="H118">
        <v>76</v>
      </c>
      <c r="I118" s="2">
        <v>18654</v>
      </c>
    </row>
    <row r="119" spans="1:9" x14ac:dyDescent="0.25">
      <c r="A119" s="4">
        <v>44171</v>
      </c>
      <c r="B119" t="s">
        <v>44</v>
      </c>
      <c r="C119" t="s">
        <v>4</v>
      </c>
      <c r="D119">
        <v>0</v>
      </c>
      <c r="E119">
        <v>0</v>
      </c>
      <c r="F119">
        <v>1.4</v>
      </c>
      <c r="G119">
        <v>0.3</v>
      </c>
      <c r="H119">
        <v>68</v>
      </c>
      <c r="I119" s="49">
        <v>36639</v>
      </c>
    </row>
    <row r="120" spans="1:9" x14ac:dyDescent="0.25">
      <c r="A120" s="4">
        <v>44175</v>
      </c>
      <c r="B120" t="s">
        <v>44</v>
      </c>
      <c r="C120" t="s">
        <v>4</v>
      </c>
      <c r="D120">
        <v>1</v>
      </c>
      <c r="E120">
        <v>1</v>
      </c>
      <c r="F120">
        <v>2.4</v>
      </c>
      <c r="G120">
        <v>0.6</v>
      </c>
      <c r="H120">
        <v>58</v>
      </c>
    </row>
    <row r="121" spans="1:9" x14ac:dyDescent="0.25">
      <c r="A121" s="4">
        <v>44178</v>
      </c>
      <c r="B121" t="s">
        <v>43</v>
      </c>
      <c r="C121" t="s">
        <v>4</v>
      </c>
      <c r="D121">
        <v>1</v>
      </c>
      <c r="E121">
        <v>1</v>
      </c>
      <c r="F121">
        <v>1.2</v>
      </c>
      <c r="G121">
        <v>1.7</v>
      </c>
      <c r="H121">
        <v>49</v>
      </c>
      <c r="I121" s="2">
        <v>16197</v>
      </c>
    </row>
    <row r="122" spans="1:9" x14ac:dyDescent="0.25">
      <c r="A122" s="4">
        <v>44181</v>
      </c>
      <c r="B122" t="s">
        <v>44</v>
      </c>
      <c r="C122" t="s">
        <v>19</v>
      </c>
      <c r="D122">
        <v>1</v>
      </c>
      <c r="E122">
        <v>2</v>
      </c>
      <c r="F122">
        <v>1.8</v>
      </c>
      <c r="G122">
        <v>2.5</v>
      </c>
      <c r="H122">
        <v>47</v>
      </c>
      <c r="I122" s="49">
        <v>31538</v>
      </c>
    </row>
    <row r="123" spans="1:9" x14ac:dyDescent="0.25">
      <c r="A123" s="4">
        <v>44184</v>
      </c>
      <c r="B123" t="s">
        <v>44</v>
      </c>
      <c r="C123" t="s">
        <v>19</v>
      </c>
      <c r="D123">
        <v>1</v>
      </c>
      <c r="E123">
        <v>2</v>
      </c>
      <c r="F123">
        <v>1.8</v>
      </c>
      <c r="G123">
        <v>1.8</v>
      </c>
      <c r="H123">
        <v>55</v>
      </c>
    </row>
    <row r="124" spans="1:9" x14ac:dyDescent="0.25">
      <c r="A124" s="4">
        <v>44187</v>
      </c>
      <c r="B124" t="s">
        <v>43</v>
      </c>
      <c r="C124" t="s">
        <v>19</v>
      </c>
      <c r="D124">
        <v>0</v>
      </c>
      <c r="E124">
        <v>2</v>
      </c>
      <c r="F124">
        <v>0.3</v>
      </c>
      <c r="G124">
        <v>0.5</v>
      </c>
      <c r="H124">
        <v>60</v>
      </c>
      <c r="I124" s="2">
        <v>51171</v>
      </c>
    </row>
    <row r="125" spans="1:9" x14ac:dyDescent="0.25">
      <c r="A125" s="4">
        <v>44196</v>
      </c>
      <c r="B125" t="s">
        <v>44</v>
      </c>
      <c r="C125" t="s">
        <v>18</v>
      </c>
      <c r="D125">
        <v>1</v>
      </c>
      <c r="E125">
        <v>0</v>
      </c>
      <c r="F125">
        <v>1.6</v>
      </c>
      <c r="G125">
        <v>0.2</v>
      </c>
      <c r="H125">
        <v>40</v>
      </c>
      <c r="I125" s="49">
        <v>21647</v>
      </c>
    </row>
    <row r="126" spans="1:9" x14ac:dyDescent="0.25">
      <c r="A126" s="4">
        <v>44199</v>
      </c>
      <c r="B126" t="s">
        <v>43</v>
      </c>
      <c r="C126" t="s">
        <v>4</v>
      </c>
      <c r="D126">
        <v>1</v>
      </c>
      <c r="E126">
        <v>1</v>
      </c>
      <c r="F126">
        <v>0.8</v>
      </c>
      <c r="G126">
        <v>0.8</v>
      </c>
      <c r="H126">
        <v>62</v>
      </c>
      <c r="I126" s="49">
        <v>29912</v>
      </c>
    </row>
    <row r="127" spans="1:9" x14ac:dyDescent="0.25">
      <c r="A127" s="4">
        <v>44205</v>
      </c>
      <c r="B127" t="s">
        <v>44</v>
      </c>
      <c r="C127" t="s">
        <v>19</v>
      </c>
      <c r="D127">
        <v>2</v>
      </c>
      <c r="E127">
        <v>3</v>
      </c>
      <c r="F127">
        <v>0.8</v>
      </c>
      <c r="G127">
        <v>2.6</v>
      </c>
      <c r="H127">
        <v>40</v>
      </c>
      <c r="I127" s="49">
        <v>31236</v>
      </c>
    </row>
    <row r="128" spans="1:9" x14ac:dyDescent="0.25">
      <c r="A128" s="4">
        <v>44209</v>
      </c>
      <c r="B128" t="s">
        <v>43</v>
      </c>
      <c r="C128" t="s">
        <v>4</v>
      </c>
      <c r="D128" t="s">
        <v>436</v>
      </c>
      <c r="E128" t="s">
        <v>164</v>
      </c>
      <c r="H128">
        <v>37</v>
      </c>
      <c r="I128" s="2">
        <v>10842</v>
      </c>
    </row>
    <row r="129" spans="1:9" x14ac:dyDescent="0.25">
      <c r="A129" s="4">
        <v>44216</v>
      </c>
      <c r="B129" t="s">
        <v>44</v>
      </c>
      <c r="C129" t="s">
        <v>18</v>
      </c>
      <c r="D129">
        <v>2</v>
      </c>
      <c r="E129">
        <v>0</v>
      </c>
      <c r="H129">
        <v>61</v>
      </c>
      <c r="I129" s="2">
        <v>64012</v>
      </c>
    </row>
    <row r="130" spans="1:9" x14ac:dyDescent="0.25">
      <c r="A130" s="4">
        <v>44219</v>
      </c>
      <c r="B130" t="s">
        <v>43</v>
      </c>
      <c r="C130" t="s">
        <v>4</v>
      </c>
      <c r="D130">
        <v>2</v>
      </c>
      <c r="E130">
        <v>2</v>
      </c>
      <c r="F130">
        <v>2.2000000000000002</v>
      </c>
      <c r="G130">
        <v>0.6</v>
      </c>
      <c r="H130">
        <v>54</v>
      </c>
      <c r="I130" s="49">
        <v>36730</v>
      </c>
    </row>
    <row r="131" spans="1:9" x14ac:dyDescent="0.25">
      <c r="A131" s="4">
        <v>44222</v>
      </c>
      <c r="B131" t="s">
        <v>44</v>
      </c>
      <c r="C131" t="s">
        <v>19</v>
      </c>
      <c r="D131">
        <v>1</v>
      </c>
      <c r="E131">
        <v>3</v>
      </c>
      <c r="H131">
        <v>41</v>
      </c>
      <c r="I131" s="49">
        <v>35194</v>
      </c>
    </row>
    <row r="132" spans="1:9" x14ac:dyDescent="0.25">
      <c r="A132" s="4">
        <v>44226</v>
      </c>
      <c r="B132" t="s">
        <v>44</v>
      </c>
      <c r="C132" t="s">
        <v>4</v>
      </c>
      <c r="D132">
        <v>1</v>
      </c>
      <c r="E132">
        <v>1</v>
      </c>
      <c r="F132">
        <v>1.3</v>
      </c>
      <c r="G132">
        <v>0.2</v>
      </c>
      <c r="H132">
        <v>65</v>
      </c>
      <c r="I132" s="49">
        <v>31381</v>
      </c>
    </row>
    <row r="133" spans="1:9" x14ac:dyDescent="0.25">
      <c r="A133" s="4">
        <v>44234</v>
      </c>
      <c r="B133" t="s">
        <v>43</v>
      </c>
      <c r="C133" t="s">
        <v>18</v>
      </c>
      <c r="D133">
        <v>4</v>
      </c>
      <c r="E133">
        <v>1</v>
      </c>
      <c r="F133">
        <v>4.5999999999999996</v>
      </c>
      <c r="G133">
        <v>0.5</v>
      </c>
      <c r="H133">
        <v>74</v>
      </c>
      <c r="I133" s="2">
        <v>5583</v>
      </c>
    </row>
    <row r="134" spans="1:9" x14ac:dyDescent="0.25">
      <c r="A134" s="4">
        <v>44241</v>
      </c>
      <c r="B134" t="s">
        <v>44</v>
      </c>
      <c r="C134" t="s">
        <v>18</v>
      </c>
      <c r="D134">
        <v>1</v>
      </c>
      <c r="E134">
        <v>0</v>
      </c>
      <c r="F134">
        <v>1</v>
      </c>
      <c r="G134">
        <v>0.4</v>
      </c>
      <c r="H134">
        <v>56</v>
      </c>
      <c r="I134" s="2">
        <v>77035</v>
      </c>
    </row>
    <row r="135" spans="1:9" x14ac:dyDescent="0.25">
      <c r="A135" s="4">
        <v>44245</v>
      </c>
      <c r="B135" t="s">
        <v>186</v>
      </c>
      <c r="C135" t="s">
        <v>19</v>
      </c>
      <c r="D135">
        <v>0</v>
      </c>
      <c r="E135">
        <v>4</v>
      </c>
      <c r="F135">
        <v>0.7</v>
      </c>
      <c r="G135">
        <v>3</v>
      </c>
      <c r="H135">
        <v>59</v>
      </c>
      <c r="I135" s="2">
        <v>16898</v>
      </c>
    </row>
    <row r="136" spans="1:9" x14ac:dyDescent="0.25">
      <c r="A136" s="4">
        <v>44248</v>
      </c>
      <c r="B136" t="s">
        <v>43</v>
      </c>
      <c r="C136" t="s">
        <v>18</v>
      </c>
      <c r="D136">
        <v>4</v>
      </c>
      <c r="E136">
        <v>0</v>
      </c>
      <c r="F136">
        <v>2.4</v>
      </c>
      <c r="G136">
        <v>0.8</v>
      </c>
      <c r="H136">
        <v>64</v>
      </c>
      <c r="I136" s="49">
        <v>27684</v>
      </c>
    </row>
    <row r="137" spans="1:9" x14ac:dyDescent="0.25">
      <c r="A137" s="4">
        <v>44252</v>
      </c>
      <c r="B137" t="s">
        <v>44</v>
      </c>
      <c r="C137" t="s">
        <v>4</v>
      </c>
      <c r="D137">
        <v>0</v>
      </c>
      <c r="E137">
        <v>0</v>
      </c>
      <c r="F137">
        <v>1.4</v>
      </c>
      <c r="G137">
        <v>0.6</v>
      </c>
      <c r="H137">
        <v>43</v>
      </c>
      <c r="I137" s="2">
        <v>18002</v>
      </c>
    </row>
    <row r="138" spans="1:9" x14ac:dyDescent="0.25">
      <c r="A138" s="4">
        <v>44256</v>
      </c>
      <c r="B138" t="s">
        <v>44</v>
      </c>
      <c r="C138" t="s">
        <v>4</v>
      </c>
      <c r="D138">
        <v>1</v>
      </c>
      <c r="E138">
        <v>1</v>
      </c>
      <c r="F138">
        <v>0.8</v>
      </c>
      <c r="G138">
        <v>2.2000000000000002</v>
      </c>
      <c r="H138">
        <v>41</v>
      </c>
      <c r="I138" s="49">
        <v>28142</v>
      </c>
    </row>
    <row r="139" spans="1:9" x14ac:dyDescent="0.25">
      <c r="A139" s="4">
        <v>44262</v>
      </c>
      <c r="B139" t="s">
        <v>43</v>
      </c>
      <c r="C139" t="s">
        <v>18</v>
      </c>
      <c r="D139">
        <v>1</v>
      </c>
      <c r="E139">
        <v>0</v>
      </c>
      <c r="F139">
        <v>4.7</v>
      </c>
      <c r="G139">
        <v>0.2</v>
      </c>
      <c r="H139">
        <v>54</v>
      </c>
      <c r="I139" s="49">
        <v>21647</v>
      </c>
    </row>
    <row r="140" spans="1:9" x14ac:dyDescent="0.25">
      <c r="A140" s="4">
        <v>44269</v>
      </c>
      <c r="B140" t="s">
        <v>44</v>
      </c>
      <c r="C140" t="s">
        <v>19</v>
      </c>
      <c r="D140">
        <v>0</v>
      </c>
      <c r="E140">
        <v>1</v>
      </c>
      <c r="F140">
        <v>0.4</v>
      </c>
      <c r="G140">
        <v>0.4</v>
      </c>
      <c r="H140">
        <v>67</v>
      </c>
      <c r="I140" s="49">
        <v>29912</v>
      </c>
    </row>
    <row r="141" spans="1:9" x14ac:dyDescent="0.25">
      <c r="A141" s="4">
        <v>44276</v>
      </c>
      <c r="B141" t="s">
        <v>43</v>
      </c>
      <c r="C141" t="s">
        <v>19</v>
      </c>
      <c r="D141">
        <v>1</v>
      </c>
      <c r="E141">
        <v>6</v>
      </c>
      <c r="F141">
        <v>0.9</v>
      </c>
      <c r="G141">
        <v>2.8</v>
      </c>
      <c r="H141">
        <v>31</v>
      </c>
      <c r="I141" s="49">
        <v>31236</v>
      </c>
    </row>
    <row r="142" spans="1:9" x14ac:dyDescent="0.25">
      <c r="A142" s="4">
        <v>44293</v>
      </c>
      <c r="B142" t="s">
        <v>43</v>
      </c>
      <c r="C142" t="s">
        <v>4</v>
      </c>
      <c r="D142">
        <v>1</v>
      </c>
      <c r="E142">
        <v>1</v>
      </c>
      <c r="F142">
        <v>0.9</v>
      </c>
      <c r="G142">
        <v>0.7</v>
      </c>
      <c r="H142">
        <v>51</v>
      </c>
      <c r="I142" s="2">
        <v>10842</v>
      </c>
    </row>
    <row r="143" spans="1:9" x14ac:dyDescent="0.25">
      <c r="A143" s="4">
        <v>44297</v>
      </c>
      <c r="B143" t="s">
        <v>44</v>
      </c>
      <c r="C143" t="s">
        <v>4</v>
      </c>
      <c r="D143">
        <v>2</v>
      </c>
      <c r="E143">
        <v>2</v>
      </c>
      <c r="F143">
        <v>1</v>
      </c>
      <c r="G143">
        <v>2.2999999999999998</v>
      </c>
      <c r="H143">
        <v>59</v>
      </c>
      <c r="I143" s="2">
        <v>64012</v>
      </c>
    </row>
    <row r="144" spans="1:9" x14ac:dyDescent="0.25">
      <c r="A144" s="4">
        <v>44304</v>
      </c>
      <c r="B144" t="s">
        <v>43</v>
      </c>
      <c r="C144" t="s">
        <v>19</v>
      </c>
      <c r="D144">
        <v>1</v>
      </c>
      <c r="E144">
        <v>2</v>
      </c>
      <c r="F144">
        <v>0.3</v>
      </c>
      <c r="G144">
        <v>3.4</v>
      </c>
      <c r="H144">
        <v>48</v>
      </c>
      <c r="I144" s="49">
        <v>36730</v>
      </c>
    </row>
    <row r="145" spans="1:9" x14ac:dyDescent="0.25">
      <c r="A145" s="4">
        <v>44308</v>
      </c>
      <c r="B145" t="s">
        <v>43</v>
      </c>
      <c r="C145" t="s">
        <v>18</v>
      </c>
      <c r="D145">
        <v>2</v>
      </c>
      <c r="E145">
        <v>1</v>
      </c>
      <c r="F145">
        <v>2.2000000000000002</v>
      </c>
      <c r="G145">
        <v>0.6</v>
      </c>
      <c r="H145">
        <v>41</v>
      </c>
      <c r="I145" s="49">
        <v>35194</v>
      </c>
    </row>
    <row r="146" spans="1:9" x14ac:dyDescent="0.25">
      <c r="A146" s="4">
        <v>44312</v>
      </c>
      <c r="B146" t="s">
        <v>44</v>
      </c>
      <c r="C146" t="s">
        <v>18</v>
      </c>
      <c r="D146">
        <v>1</v>
      </c>
      <c r="E146">
        <v>0</v>
      </c>
      <c r="F146">
        <v>0.7</v>
      </c>
      <c r="G146">
        <v>1.2</v>
      </c>
      <c r="H146">
        <v>47</v>
      </c>
      <c r="I146" s="49">
        <v>31381</v>
      </c>
    </row>
    <row r="147" spans="1:9" x14ac:dyDescent="0.25">
      <c r="A147" s="4">
        <v>44317</v>
      </c>
      <c r="B147" t="s">
        <v>44</v>
      </c>
      <c r="C147" t="s">
        <v>19</v>
      </c>
      <c r="D147">
        <v>0</v>
      </c>
      <c r="E147">
        <v>1</v>
      </c>
      <c r="F147">
        <v>0.3</v>
      </c>
      <c r="G147">
        <v>0.6</v>
      </c>
      <c r="H147">
        <v>53</v>
      </c>
      <c r="I147" s="49">
        <v>27684</v>
      </c>
    </row>
    <row r="148" spans="1:9" x14ac:dyDescent="0.25">
      <c r="A148" s="4">
        <v>44323</v>
      </c>
      <c r="B148" t="s">
        <v>43</v>
      </c>
      <c r="C148" t="s">
        <v>18</v>
      </c>
      <c r="D148">
        <v>2</v>
      </c>
      <c r="E148">
        <v>0</v>
      </c>
      <c r="F148">
        <v>2.4</v>
      </c>
      <c r="G148">
        <v>0.2</v>
      </c>
      <c r="H148">
        <v>72</v>
      </c>
      <c r="I148" s="2">
        <v>18002</v>
      </c>
    </row>
    <row r="149" spans="1:9" x14ac:dyDescent="0.25">
      <c r="A149" s="4">
        <v>44328</v>
      </c>
      <c r="B149" t="s">
        <v>44</v>
      </c>
      <c r="C149" t="s">
        <v>19</v>
      </c>
      <c r="D149">
        <v>1</v>
      </c>
      <c r="E149">
        <v>2</v>
      </c>
      <c r="F149">
        <v>1.7</v>
      </c>
      <c r="G149">
        <v>1.4</v>
      </c>
      <c r="H149">
        <v>65</v>
      </c>
      <c r="I149" s="49">
        <v>28142</v>
      </c>
    </row>
    <row r="150" spans="1:9" x14ac:dyDescent="0.25">
      <c r="A150" s="4">
        <v>44332</v>
      </c>
      <c r="B150" t="s">
        <v>43</v>
      </c>
      <c r="C150" t="s">
        <v>18</v>
      </c>
      <c r="D150">
        <v>4</v>
      </c>
      <c r="E150">
        <v>1</v>
      </c>
      <c r="F150">
        <v>1.8</v>
      </c>
      <c r="G150">
        <v>1.6</v>
      </c>
      <c r="H150">
        <v>54</v>
      </c>
      <c r="I150" s="49">
        <v>21647</v>
      </c>
    </row>
    <row r="151" spans="1:9" s="11" customFormat="1" x14ac:dyDescent="0.25">
      <c r="A151" s="13">
        <v>44338</v>
      </c>
      <c r="B151" s="11" t="s">
        <v>44</v>
      </c>
      <c r="C151" s="11" t="s">
        <v>18</v>
      </c>
      <c r="D151" s="11">
        <v>1</v>
      </c>
      <c r="E151" s="11">
        <v>0</v>
      </c>
      <c r="F151" s="11">
        <v>2</v>
      </c>
      <c r="G151" s="11">
        <v>0.4</v>
      </c>
      <c r="H151" s="11">
        <v>56</v>
      </c>
      <c r="I151" s="52">
        <v>29912</v>
      </c>
    </row>
    <row r="152" spans="1:9" x14ac:dyDescent="0.25">
      <c r="A152" s="4">
        <v>44423</v>
      </c>
      <c r="B152" t="s">
        <v>44</v>
      </c>
      <c r="C152" t="s">
        <v>19</v>
      </c>
      <c r="D152">
        <v>2</v>
      </c>
      <c r="E152">
        <v>4</v>
      </c>
      <c r="F152">
        <v>0.8</v>
      </c>
      <c r="G152">
        <v>2.8</v>
      </c>
      <c r="H152">
        <v>38</v>
      </c>
      <c r="I152" s="2">
        <v>20384</v>
      </c>
    </row>
    <row r="153" spans="1:9" x14ac:dyDescent="0.25">
      <c r="A153" s="4">
        <v>44430</v>
      </c>
      <c r="B153" t="s">
        <v>43</v>
      </c>
      <c r="C153" t="s">
        <v>18</v>
      </c>
      <c r="D153">
        <v>1</v>
      </c>
      <c r="E153">
        <v>0</v>
      </c>
      <c r="F153">
        <v>1.9</v>
      </c>
      <c r="G153">
        <v>0.5</v>
      </c>
      <c r="H153">
        <v>61</v>
      </c>
      <c r="I153" s="2">
        <v>7652</v>
      </c>
    </row>
    <row r="154" spans="1:9" x14ac:dyDescent="0.25">
      <c r="A154" s="4">
        <v>44436</v>
      </c>
      <c r="B154" t="s">
        <v>43</v>
      </c>
      <c r="C154" t="s">
        <v>18</v>
      </c>
      <c r="D154">
        <v>1</v>
      </c>
      <c r="E154">
        <v>0</v>
      </c>
      <c r="F154">
        <v>1</v>
      </c>
      <c r="G154">
        <v>0.4</v>
      </c>
      <c r="H154">
        <v>51</v>
      </c>
      <c r="I154" s="2">
        <v>7758</v>
      </c>
    </row>
    <row r="155" spans="1:9" x14ac:dyDescent="0.25">
      <c r="A155" s="4">
        <v>44451</v>
      </c>
      <c r="B155" t="s">
        <v>44</v>
      </c>
      <c r="C155" t="s">
        <v>18</v>
      </c>
      <c r="D155">
        <v>2</v>
      </c>
      <c r="E155">
        <v>0</v>
      </c>
      <c r="F155">
        <v>1.9</v>
      </c>
      <c r="G155">
        <v>0.3</v>
      </c>
      <c r="H155">
        <v>76</v>
      </c>
      <c r="I155" s="2">
        <v>11826</v>
      </c>
    </row>
    <row r="156" spans="1:9" x14ac:dyDescent="0.25">
      <c r="A156" s="4">
        <v>44455</v>
      </c>
      <c r="B156" t="s">
        <v>44</v>
      </c>
      <c r="C156" t="s">
        <v>4</v>
      </c>
      <c r="D156">
        <v>2</v>
      </c>
      <c r="E156">
        <v>2</v>
      </c>
      <c r="F156">
        <v>1.3</v>
      </c>
      <c r="G156">
        <v>1.5</v>
      </c>
      <c r="H156">
        <v>39</v>
      </c>
      <c r="I156" s="2">
        <v>23135</v>
      </c>
    </row>
    <row r="157" spans="1:9" x14ac:dyDescent="0.25">
      <c r="A157" s="4">
        <v>44458</v>
      </c>
      <c r="B157" t="s">
        <v>43</v>
      </c>
      <c r="C157" t="s">
        <v>4</v>
      </c>
      <c r="D157">
        <v>0</v>
      </c>
      <c r="E157">
        <v>0</v>
      </c>
      <c r="F157">
        <v>1.3</v>
      </c>
      <c r="G157">
        <v>0.5</v>
      </c>
      <c r="H157">
        <v>47</v>
      </c>
      <c r="I157" s="2">
        <v>23757</v>
      </c>
    </row>
    <row r="158" spans="1:9" x14ac:dyDescent="0.25">
      <c r="A158" s="4">
        <v>44462</v>
      </c>
      <c r="B158" t="s">
        <v>44</v>
      </c>
      <c r="C158" t="s">
        <v>18</v>
      </c>
      <c r="D158">
        <v>3</v>
      </c>
      <c r="E158">
        <v>2</v>
      </c>
      <c r="F158">
        <v>1.7</v>
      </c>
      <c r="G158">
        <v>1.3</v>
      </c>
      <c r="H158">
        <v>61</v>
      </c>
      <c r="I158" s="2">
        <v>9552</v>
      </c>
    </row>
    <row r="159" spans="1:9" x14ac:dyDescent="0.25">
      <c r="A159" s="4">
        <v>44465</v>
      </c>
      <c r="B159" t="s">
        <v>43</v>
      </c>
      <c r="C159" t="s">
        <v>18</v>
      </c>
      <c r="D159">
        <v>1</v>
      </c>
      <c r="E159">
        <v>0</v>
      </c>
      <c r="F159">
        <v>2.4</v>
      </c>
      <c r="G159">
        <v>0.5</v>
      </c>
      <c r="H159">
        <v>63</v>
      </c>
      <c r="I159" s="2">
        <v>23941</v>
      </c>
    </row>
    <row r="160" spans="1:9" x14ac:dyDescent="0.25">
      <c r="A160" s="4">
        <v>44469</v>
      </c>
      <c r="B160" t="s">
        <v>43</v>
      </c>
      <c r="C160" t="s">
        <v>4</v>
      </c>
      <c r="D160">
        <v>1</v>
      </c>
      <c r="E160">
        <v>1</v>
      </c>
      <c r="F160">
        <v>1.4</v>
      </c>
      <c r="G160">
        <v>0.3</v>
      </c>
      <c r="H160">
        <v>63</v>
      </c>
      <c r="I160" s="2">
        <v>23765</v>
      </c>
    </row>
    <row r="161" spans="1:9" x14ac:dyDescent="0.25">
      <c r="A161" s="4">
        <v>44472</v>
      </c>
      <c r="B161" t="s">
        <v>44</v>
      </c>
      <c r="C161" t="s">
        <v>4</v>
      </c>
      <c r="D161">
        <v>1</v>
      </c>
      <c r="E161">
        <v>1</v>
      </c>
      <c r="F161">
        <v>0.7</v>
      </c>
      <c r="G161">
        <v>0.7</v>
      </c>
      <c r="H161">
        <v>62</v>
      </c>
      <c r="I161" s="2">
        <v>8463</v>
      </c>
    </row>
    <row r="162" spans="1:9" x14ac:dyDescent="0.25">
      <c r="A162" s="4">
        <v>44485</v>
      </c>
      <c r="B162" t="s">
        <v>43</v>
      </c>
      <c r="C162" t="s">
        <v>18</v>
      </c>
      <c r="D162">
        <v>1</v>
      </c>
      <c r="E162">
        <v>0</v>
      </c>
      <c r="F162">
        <v>0.4</v>
      </c>
      <c r="G162">
        <v>0.2</v>
      </c>
      <c r="H162">
        <v>50</v>
      </c>
      <c r="I162" s="2">
        <v>30831</v>
      </c>
    </row>
    <row r="163" spans="1:9" x14ac:dyDescent="0.25">
      <c r="A163" s="4">
        <v>44490</v>
      </c>
      <c r="B163" t="s">
        <v>44</v>
      </c>
      <c r="C163" t="s">
        <v>18</v>
      </c>
      <c r="D163">
        <v>1</v>
      </c>
      <c r="E163">
        <v>0</v>
      </c>
      <c r="F163">
        <v>1.5</v>
      </c>
      <c r="G163">
        <v>0.2</v>
      </c>
      <c r="H163">
        <v>61</v>
      </c>
      <c r="I163" s="2">
        <v>14809</v>
      </c>
    </row>
    <row r="164" spans="1:9" x14ac:dyDescent="0.25">
      <c r="A164" s="4">
        <v>44493</v>
      </c>
      <c r="B164" t="s">
        <v>44</v>
      </c>
      <c r="C164" t="s">
        <v>4</v>
      </c>
      <c r="D164">
        <v>2</v>
      </c>
      <c r="E164">
        <v>2</v>
      </c>
      <c r="F164">
        <v>0.8</v>
      </c>
      <c r="G164">
        <v>1.7</v>
      </c>
      <c r="H164">
        <v>44</v>
      </c>
      <c r="I164" s="2">
        <v>50032</v>
      </c>
    </row>
    <row r="165" spans="1:9" x14ac:dyDescent="0.25">
      <c r="A165" s="4">
        <v>44497</v>
      </c>
      <c r="B165" t="s">
        <v>44</v>
      </c>
      <c r="C165" t="s">
        <v>18</v>
      </c>
      <c r="D165">
        <v>2</v>
      </c>
      <c r="E165">
        <v>0</v>
      </c>
      <c r="F165">
        <v>1.7</v>
      </c>
      <c r="G165">
        <v>1.4</v>
      </c>
      <c r="H165">
        <v>42</v>
      </c>
      <c r="I165" s="2">
        <v>8726</v>
      </c>
    </row>
    <row r="166" spans="1:9" x14ac:dyDescent="0.25">
      <c r="A166" s="4">
        <v>44500</v>
      </c>
      <c r="B166" t="s">
        <v>43</v>
      </c>
      <c r="C166" t="s">
        <v>4</v>
      </c>
      <c r="D166">
        <v>1</v>
      </c>
      <c r="E166">
        <v>1</v>
      </c>
      <c r="F166">
        <v>1.1000000000000001</v>
      </c>
      <c r="G166">
        <v>1</v>
      </c>
      <c r="H166">
        <v>54</v>
      </c>
      <c r="I166" s="2">
        <v>37066</v>
      </c>
    </row>
    <row r="167" spans="1:9" x14ac:dyDescent="0.25">
      <c r="A167" s="4">
        <v>44504</v>
      </c>
      <c r="B167" t="s">
        <v>43</v>
      </c>
      <c r="C167" t="s">
        <v>4</v>
      </c>
      <c r="D167">
        <v>1</v>
      </c>
      <c r="E167">
        <v>1</v>
      </c>
      <c r="F167">
        <v>3.7</v>
      </c>
      <c r="G167">
        <v>1</v>
      </c>
      <c r="H167">
        <v>72</v>
      </c>
      <c r="I167" s="2">
        <v>25010</v>
      </c>
    </row>
    <row r="168" spans="1:9" x14ac:dyDescent="0.25">
      <c r="A168" s="4">
        <v>44507</v>
      </c>
      <c r="B168" t="s">
        <v>44</v>
      </c>
      <c r="C168" t="s">
        <v>18</v>
      </c>
      <c r="D168">
        <v>2</v>
      </c>
      <c r="E168">
        <v>0</v>
      </c>
      <c r="F168">
        <v>1.5</v>
      </c>
      <c r="G168">
        <v>0.4</v>
      </c>
      <c r="H168">
        <v>56</v>
      </c>
      <c r="I168" s="2">
        <v>21741</v>
      </c>
    </row>
    <row r="169" spans="1:9" x14ac:dyDescent="0.25">
      <c r="A169" s="4">
        <v>44521</v>
      </c>
      <c r="B169" t="s">
        <v>43</v>
      </c>
      <c r="C169" t="s">
        <v>4</v>
      </c>
      <c r="D169">
        <v>0</v>
      </c>
      <c r="E169">
        <v>0</v>
      </c>
      <c r="F169">
        <v>0.3</v>
      </c>
      <c r="G169">
        <v>0.7</v>
      </c>
      <c r="H169">
        <v>62</v>
      </c>
      <c r="I169" s="2">
        <v>28635</v>
      </c>
    </row>
    <row r="170" spans="1:9" x14ac:dyDescent="0.25">
      <c r="A170" s="4">
        <v>44525</v>
      </c>
      <c r="B170" t="s">
        <v>44</v>
      </c>
      <c r="C170" t="s">
        <v>19</v>
      </c>
      <c r="D170">
        <v>1</v>
      </c>
      <c r="E170">
        <v>2</v>
      </c>
      <c r="F170">
        <v>1.4</v>
      </c>
      <c r="G170">
        <v>2.5</v>
      </c>
      <c r="H170">
        <v>61</v>
      </c>
      <c r="I170" s="2">
        <v>3834</v>
      </c>
    </row>
    <row r="171" spans="1:9" x14ac:dyDescent="0.25">
      <c r="A171" s="4">
        <v>44528</v>
      </c>
      <c r="B171" t="s">
        <v>44</v>
      </c>
      <c r="C171" t="s">
        <v>19</v>
      </c>
      <c r="D171">
        <v>0</v>
      </c>
      <c r="E171">
        <v>1</v>
      </c>
      <c r="F171">
        <v>1.7</v>
      </c>
      <c r="G171">
        <v>0.4</v>
      </c>
      <c r="H171">
        <v>59</v>
      </c>
      <c r="I171" s="2">
        <v>19935</v>
      </c>
    </row>
    <row r="172" spans="1:9" x14ac:dyDescent="0.25">
      <c r="A172" s="4">
        <v>44531</v>
      </c>
      <c r="B172" t="s">
        <v>44</v>
      </c>
      <c r="C172" t="s">
        <v>18</v>
      </c>
      <c r="D172">
        <v>4</v>
      </c>
      <c r="E172">
        <v>0</v>
      </c>
      <c r="H172">
        <v>72</v>
      </c>
      <c r="I172" s="2">
        <v>3841</v>
      </c>
    </row>
    <row r="173" spans="1:9" x14ac:dyDescent="0.25">
      <c r="A173" s="4">
        <v>44534</v>
      </c>
      <c r="B173" t="s">
        <v>43</v>
      </c>
      <c r="C173" t="s">
        <v>19</v>
      </c>
      <c r="D173">
        <v>0</v>
      </c>
      <c r="E173">
        <v>2</v>
      </c>
      <c r="F173">
        <v>0.7</v>
      </c>
      <c r="G173">
        <v>1.6</v>
      </c>
      <c r="H173">
        <v>51</v>
      </c>
      <c r="I173" s="2">
        <v>35765</v>
      </c>
    </row>
    <row r="174" spans="1:9" x14ac:dyDescent="0.25">
      <c r="A174" s="4">
        <v>44539</v>
      </c>
      <c r="B174" t="s">
        <v>43</v>
      </c>
      <c r="C174" t="s">
        <v>18</v>
      </c>
      <c r="D174">
        <v>3</v>
      </c>
      <c r="E174">
        <v>0</v>
      </c>
      <c r="F174">
        <v>2.2000000000000002</v>
      </c>
      <c r="G174">
        <v>0.5</v>
      </c>
      <c r="H174">
        <v>33</v>
      </c>
      <c r="I174" s="2">
        <v>24940</v>
      </c>
    </row>
    <row r="175" spans="1:9" x14ac:dyDescent="0.25">
      <c r="A175" s="4">
        <v>44542</v>
      </c>
      <c r="B175" t="s">
        <v>44</v>
      </c>
      <c r="C175" t="s">
        <v>19</v>
      </c>
      <c r="D175">
        <v>0</v>
      </c>
      <c r="E175">
        <v>4</v>
      </c>
      <c r="F175">
        <v>0.9</v>
      </c>
      <c r="G175">
        <v>1.6</v>
      </c>
      <c r="H175">
        <v>51</v>
      </c>
      <c r="I175" s="2">
        <v>52158</v>
      </c>
    </row>
    <row r="176" spans="1:9" x14ac:dyDescent="0.25">
      <c r="A176" s="4">
        <v>44545</v>
      </c>
      <c r="B176" t="s">
        <v>44</v>
      </c>
      <c r="C176" t="s">
        <v>18</v>
      </c>
      <c r="D176">
        <v>3</v>
      </c>
      <c r="E176">
        <v>0</v>
      </c>
      <c r="H176">
        <v>64</v>
      </c>
      <c r="I176" s="2">
        <v>4251</v>
      </c>
    </row>
    <row r="177" spans="1:9" x14ac:dyDescent="0.25">
      <c r="A177" s="4">
        <v>44548</v>
      </c>
      <c r="B177" t="s">
        <v>43</v>
      </c>
      <c r="C177" t="s">
        <v>19</v>
      </c>
      <c r="D177">
        <v>1</v>
      </c>
      <c r="E177">
        <v>3</v>
      </c>
      <c r="F177">
        <v>0.9</v>
      </c>
      <c r="G177">
        <v>2.9</v>
      </c>
      <c r="H177">
        <v>40</v>
      </c>
      <c r="I177" s="2">
        <v>29679</v>
      </c>
    </row>
    <row r="178" spans="1:9" x14ac:dyDescent="0.25">
      <c r="A178" s="4">
        <v>44563</v>
      </c>
      <c r="B178" t="s">
        <v>44</v>
      </c>
      <c r="C178" t="s">
        <v>4</v>
      </c>
      <c r="D178">
        <v>1</v>
      </c>
      <c r="E178">
        <v>1</v>
      </c>
      <c r="F178">
        <v>0.9</v>
      </c>
      <c r="G178">
        <v>1.7</v>
      </c>
      <c r="H178">
        <v>63</v>
      </c>
      <c r="I178" s="2">
        <v>13498</v>
      </c>
    </row>
    <row r="179" spans="1:9" x14ac:dyDescent="0.25">
      <c r="A179" s="4">
        <v>44566</v>
      </c>
      <c r="B179" t="s">
        <v>44</v>
      </c>
      <c r="C179" t="s">
        <v>18</v>
      </c>
      <c r="D179">
        <v>3</v>
      </c>
      <c r="E179">
        <v>2</v>
      </c>
      <c r="H179">
        <v>63</v>
      </c>
      <c r="I179" s="2">
        <v>6430</v>
      </c>
    </row>
    <row r="180" spans="1:9" x14ac:dyDescent="0.25">
      <c r="A180" s="4">
        <v>44569</v>
      </c>
      <c r="B180" t="s">
        <v>43</v>
      </c>
      <c r="C180" t="s">
        <v>18</v>
      </c>
      <c r="D180">
        <v>1</v>
      </c>
      <c r="E180">
        <v>0</v>
      </c>
      <c r="F180">
        <v>1.7</v>
      </c>
      <c r="G180">
        <v>0.4</v>
      </c>
      <c r="H180">
        <v>41</v>
      </c>
      <c r="I180" s="2">
        <v>27938</v>
      </c>
    </row>
    <row r="181" spans="1:9" x14ac:dyDescent="0.25">
      <c r="A181" s="4">
        <v>44580</v>
      </c>
      <c r="B181" t="s">
        <v>43</v>
      </c>
      <c r="C181" t="s">
        <v>18</v>
      </c>
      <c r="D181">
        <v>2</v>
      </c>
      <c r="E181">
        <v>0</v>
      </c>
      <c r="H181">
        <v>46</v>
      </c>
      <c r="I181" s="2">
        <v>28111</v>
      </c>
    </row>
    <row r="182" spans="1:9" x14ac:dyDescent="0.25">
      <c r="A182" s="4">
        <v>44584</v>
      </c>
      <c r="B182" t="s">
        <v>43</v>
      </c>
      <c r="C182" t="s">
        <v>4</v>
      </c>
      <c r="D182">
        <v>0</v>
      </c>
      <c r="E182">
        <v>0</v>
      </c>
      <c r="F182">
        <v>0.8</v>
      </c>
      <c r="G182">
        <v>0.3</v>
      </c>
      <c r="H182">
        <v>70</v>
      </c>
      <c r="I182" s="2">
        <v>27368</v>
      </c>
    </row>
    <row r="183" spans="1:9" x14ac:dyDescent="0.25">
      <c r="A183" s="4">
        <v>44595</v>
      </c>
      <c r="B183" t="s">
        <v>43</v>
      </c>
      <c r="C183" t="s">
        <v>19</v>
      </c>
      <c r="D183">
        <v>0</v>
      </c>
      <c r="E183">
        <v>4</v>
      </c>
      <c r="H183">
        <v>56</v>
      </c>
      <c r="I183" s="2">
        <v>29326</v>
      </c>
    </row>
    <row r="184" spans="1:9" x14ac:dyDescent="0.25">
      <c r="A184" s="4">
        <v>44598</v>
      </c>
      <c r="B184" t="s">
        <v>44</v>
      </c>
      <c r="C184" t="s">
        <v>4</v>
      </c>
      <c r="D184">
        <v>0</v>
      </c>
      <c r="E184">
        <v>0</v>
      </c>
      <c r="F184">
        <v>0.4</v>
      </c>
      <c r="G184">
        <v>1.1000000000000001</v>
      </c>
      <c r="H184">
        <v>60</v>
      </c>
      <c r="I184" s="2">
        <v>31351</v>
      </c>
    </row>
    <row r="185" spans="1:9" x14ac:dyDescent="0.25">
      <c r="A185" s="4">
        <v>44605</v>
      </c>
      <c r="B185" t="s">
        <v>43</v>
      </c>
      <c r="C185" t="s">
        <v>18</v>
      </c>
      <c r="D185">
        <v>2</v>
      </c>
      <c r="E185">
        <v>0</v>
      </c>
      <c r="F185">
        <v>2.9</v>
      </c>
      <c r="G185">
        <v>1.2</v>
      </c>
      <c r="H185">
        <v>56</v>
      </c>
      <c r="I185" s="2">
        <v>29847</v>
      </c>
    </row>
    <row r="186" spans="1:9" x14ac:dyDescent="0.25">
      <c r="A186" s="4">
        <v>44609</v>
      </c>
      <c r="B186" t="s">
        <v>44</v>
      </c>
      <c r="C186" t="s">
        <v>4</v>
      </c>
      <c r="D186">
        <v>2</v>
      </c>
      <c r="E186">
        <v>2</v>
      </c>
      <c r="F186">
        <v>0.9</v>
      </c>
      <c r="G186">
        <v>1.7</v>
      </c>
      <c r="H186">
        <v>31</v>
      </c>
      <c r="I186" s="2">
        <v>21113</v>
      </c>
    </row>
    <row r="187" spans="1:9" x14ac:dyDescent="0.25">
      <c r="A187" s="4">
        <v>44612</v>
      </c>
      <c r="B187" t="s">
        <v>44</v>
      </c>
      <c r="C187" t="s">
        <v>19</v>
      </c>
      <c r="D187">
        <v>0</v>
      </c>
      <c r="E187">
        <v>4</v>
      </c>
      <c r="F187">
        <v>0.4</v>
      </c>
      <c r="G187">
        <v>2.8</v>
      </c>
      <c r="H187">
        <v>52</v>
      </c>
      <c r="I187" s="2">
        <v>40698</v>
      </c>
    </row>
    <row r="188" spans="1:9" x14ac:dyDescent="0.25">
      <c r="A188" s="4">
        <v>44616</v>
      </c>
      <c r="B188" t="s">
        <v>43</v>
      </c>
      <c r="C188" t="s">
        <v>19</v>
      </c>
      <c r="D188">
        <v>1</v>
      </c>
      <c r="E188">
        <v>3</v>
      </c>
      <c r="F188">
        <v>1.2</v>
      </c>
      <c r="G188">
        <v>2.6</v>
      </c>
      <c r="H188">
        <v>48</v>
      </c>
      <c r="I188" s="2">
        <v>30113</v>
      </c>
    </row>
    <row r="189" spans="1:9" x14ac:dyDescent="0.25">
      <c r="A189" s="4">
        <v>44619</v>
      </c>
      <c r="B189" t="s">
        <v>43</v>
      </c>
      <c r="C189" t="s">
        <v>18</v>
      </c>
      <c r="D189">
        <v>1</v>
      </c>
      <c r="E189">
        <v>0</v>
      </c>
      <c r="F189">
        <v>1</v>
      </c>
      <c r="G189">
        <v>0.4</v>
      </c>
      <c r="H189">
        <v>58</v>
      </c>
      <c r="I189" s="2">
        <v>30145</v>
      </c>
    </row>
    <row r="190" spans="1:9" x14ac:dyDescent="0.25">
      <c r="A190" s="4">
        <v>44622</v>
      </c>
      <c r="B190" t="s">
        <v>44</v>
      </c>
      <c r="C190" t="s">
        <v>18</v>
      </c>
      <c r="D190">
        <v>2</v>
      </c>
      <c r="E190">
        <v>0</v>
      </c>
      <c r="F190">
        <v>1.6</v>
      </c>
      <c r="G190">
        <v>0.5</v>
      </c>
      <c r="H190">
        <v>48</v>
      </c>
      <c r="I190" s="2">
        <v>11550</v>
      </c>
    </row>
    <row r="191" spans="1:9" x14ac:dyDescent="0.25">
      <c r="A191" s="4">
        <v>44625</v>
      </c>
      <c r="B191" t="s">
        <v>44</v>
      </c>
      <c r="C191" t="s">
        <v>19</v>
      </c>
      <c r="D191">
        <v>1</v>
      </c>
      <c r="E191">
        <v>4</v>
      </c>
      <c r="F191">
        <v>0.8</v>
      </c>
      <c r="G191">
        <v>2</v>
      </c>
      <c r="H191">
        <v>36</v>
      </c>
      <c r="I191" s="2">
        <v>52410</v>
      </c>
    </row>
    <row r="192" spans="1:9" x14ac:dyDescent="0.25">
      <c r="A192" s="4">
        <v>44633</v>
      </c>
      <c r="B192" t="s">
        <v>43</v>
      </c>
      <c r="C192" t="s">
        <v>18</v>
      </c>
      <c r="D192">
        <v>1</v>
      </c>
      <c r="E192">
        <v>0</v>
      </c>
      <c r="F192">
        <v>2.2000000000000002</v>
      </c>
      <c r="G192">
        <v>0.8</v>
      </c>
      <c r="H192">
        <v>59</v>
      </c>
      <c r="I192" s="2">
        <v>31573</v>
      </c>
    </row>
    <row r="193" spans="1:9" x14ac:dyDescent="0.25">
      <c r="A193" s="4">
        <v>44640</v>
      </c>
      <c r="B193" t="s">
        <v>44</v>
      </c>
      <c r="C193" t="s">
        <v>4</v>
      </c>
      <c r="D193">
        <v>0</v>
      </c>
      <c r="E193">
        <v>0</v>
      </c>
      <c r="F193">
        <v>1.1000000000000001</v>
      </c>
      <c r="G193">
        <v>0.3</v>
      </c>
      <c r="H193">
        <v>40</v>
      </c>
      <c r="I193" s="2">
        <v>24861</v>
      </c>
    </row>
    <row r="194" spans="1:9" x14ac:dyDescent="0.25">
      <c r="A194" s="4">
        <v>44655</v>
      </c>
      <c r="B194" t="s">
        <v>43</v>
      </c>
      <c r="C194" t="s">
        <v>18</v>
      </c>
      <c r="D194">
        <v>1</v>
      </c>
      <c r="E194">
        <v>0</v>
      </c>
      <c r="F194">
        <v>2.2000000000000002</v>
      </c>
      <c r="G194">
        <v>0.4</v>
      </c>
      <c r="H194">
        <v>68</v>
      </c>
      <c r="I194" s="2">
        <v>20869</v>
      </c>
    </row>
    <row r="195" spans="1:9" x14ac:dyDescent="0.25">
      <c r="A195" s="4">
        <v>44661</v>
      </c>
      <c r="B195" t="s">
        <v>44</v>
      </c>
      <c r="C195" t="s">
        <v>18</v>
      </c>
      <c r="D195">
        <v>2</v>
      </c>
      <c r="E195">
        <v>1</v>
      </c>
      <c r="F195">
        <v>1.7</v>
      </c>
      <c r="G195">
        <v>0.6</v>
      </c>
      <c r="H195">
        <v>50</v>
      </c>
      <c r="I195" s="2">
        <v>17011</v>
      </c>
    </row>
    <row r="196" spans="1:9" x14ac:dyDescent="0.25">
      <c r="A196" s="4">
        <v>44666</v>
      </c>
      <c r="B196" t="s">
        <v>43</v>
      </c>
      <c r="C196" t="s">
        <v>4</v>
      </c>
      <c r="D196">
        <v>0</v>
      </c>
      <c r="E196">
        <v>0</v>
      </c>
      <c r="F196">
        <v>0.9</v>
      </c>
      <c r="G196">
        <v>0.5</v>
      </c>
      <c r="H196">
        <v>57</v>
      </c>
      <c r="I196" s="2">
        <v>28893</v>
      </c>
    </row>
    <row r="197" spans="1:9" x14ac:dyDescent="0.25">
      <c r="A197" s="4">
        <v>44672</v>
      </c>
      <c r="B197" t="s">
        <v>43</v>
      </c>
      <c r="C197" t="s">
        <v>19</v>
      </c>
      <c r="D197">
        <v>0</v>
      </c>
      <c r="E197">
        <v>1</v>
      </c>
      <c r="F197">
        <v>0.8</v>
      </c>
      <c r="G197">
        <v>1.1000000000000001</v>
      </c>
      <c r="H197">
        <v>55</v>
      </c>
      <c r="I197" s="2">
        <v>35128</v>
      </c>
    </row>
    <row r="198" spans="1:9" x14ac:dyDescent="0.25">
      <c r="A198" s="4">
        <v>44682</v>
      </c>
      <c r="B198" t="s">
        <v>44</v>
      </c>
      <c r="C198" t="s">
        <v>4</v>
      </c>
      <c r="D198">
        <v>1</v>
      </c>
      <c r="E198">
        <v>1</v>
      </c>
      <c r="F198">
        <v>0.7</v>
      </c>
      <c r="G198">
        <v>1.4</v>
      </c>
      <c r="H198">
        <v>55</v>
      </c>
      <c r="I198" s="2">
        <v>9395</v>
      </c>
    </row>
    <row r="199" spans="1:9" x14ac:dyDescent="0.25">
      <c r="A199" s="4">
        <v>44687</v>
      </c>
      <c r="B199" t="s">
        <v>44</v>
      </c>
      <c r="C199" t="s">
        <v>19</v>
      </c>
      <c r="D199">
        <v>1</v>
      </c>
      <c r="E199">
        <v>2</v>
      </c>
      <c r="F199">
        <v>2.1</v>
      </c>
      <c r="G199">
        <v>2.1</v>
      </c>
      <c r="H199">
        <v>64</v>
      </c>
      <c r="I199" s="2">
        <v>17278</v>
      </c>
    </row>
    <row r="200" spans="1:9" x14ac:dyDescent="0.25">
      <c r="A200" s="4">
        <v>44693</v>
      </c>
      <c r="B200" t="s">
        <v>43</v>
      </c>
      <c r="C200" t="s">
        <v>18</v>
      </c>
      <c r="D200">
        <v>3</v>
      </c>
      <c r="E200">
        <v>0</v>
      </c>
      <c r="F200">
        <v>3</v>
      </c>
      <c r="G200">
        <v>0.7</v>
      </c>
      <c r="H200">
        <v>52</v>
      </c>
      <c r="I200" s="2">
        <v>29014</v>
      </c>
    </row>
    <row r="201" spans="1:9" x14ac:dyDescent="0.25">
      <c r="A201" s="4">
        <v>44696</v>
      </c>
      <c r="B201" t="s">
        <v>44</v>
      </c>
      <c r="C201" t="s">
        <v>18</v>
      </c>
      <c r="D201">
        <v>2</v>
      </c>
      <c r="E201">
        <v>1</v>
      </c>
      <c r="F201">
        <v>2.1</v>
      </c>
      <c r="G201">
        <v>0.7</v>
      </c>
      <c r="H201">
        <v>51</v>
      </c>
      <c r="I201" s="2">
        <v>16689</v>
      </c>
    </row>
    <row r="202" spans="1:9" s="11" customFormat="1" x14ac:dyDescent="0.25">
      <c r="A202" s="13">
        <v>44703</v>
      </c>
      <c r="B202" s="11" t="s">
        <v>43</v>
      </c>
      <c r="C202" s="11" t="s">
        <v>19</v>
      </c>
      <c r="D202" s="11">
        <v>1</v>
      </c>
      <c r="E202" s="11">
        <v>2</v>
      </c>
      <c r="F202" s="11">
        <v>2.5</v>
      </c>
      <c r="G202" s="11">
        <v>0.7</v>
      </c>
      <c r="H202" s="11">
        <v>62</v>
      </c>
      <c r="I202" s="51">
        <v>23586</v>
      </c>
    </row>
    <row r="203" spans="1:9" x14ac:dyDescent="0.25">
      <c r="A203" s="4">
        <v>44787</v>
      </c>
      <c r="B203" t="s">
        <v>44</v>
      </c>
      <c r="C203" t="s">
        <v>18</v>
      </c>
      <c r="D203">
        <v>1</v>
      </c>
      <c r="E203">
        <v>0</v>
      </c>
      <c r="F203">
        <v>1.7</v>
      </c>
      <c r="G203">
        <v>0.2</v>
      </c>
      <c r="H203">
        <v>59</v>
      </c>
      <c r="I203" s="2">
        <v>16570</v>
      </c>
    </row>
    <row r="204" spans="1:9" x14ac:dyDescent="0.25">
      <c r="A204" s="4">
        <v>44794</v>
      </c>
      <c r="B204" t="s">
        <v>43</v>
      </c>
      <c r="C204" t="s">
        <v>19</v>
      </c>
      <c r="D204">
        <v>1</v>
      </c>
      <c r="E204">
        <v>4</v>
      </c>
      <c r="F204">
        <v>0.8</v>
      </c>
      <c r="G204">
        <v>2.1</v>
      </c>
      <c r="H204">
        <v>42</v>
      </c>
      <c r="I204" s="2">
        <v>36201</v>
      </c>
    </row>
    <row r="205" spans="1:9" x14ac:dyDescent="0.25">
      <c r="A205" s="4">
        <v>44800</v>
      </c>
      <c r="B205" t="s">
        <v>44</v>
      </c>
      <c r="C205" t="s">
        <v>18</v>
      </c>
      <c r="D205">
        <v>1</v>
      </c>
      <c r="E205">
        <v>0</v>
      </c>
      <c r="F205">
        <v>1.8</v>
      </c>
      <c r="G205">
        <v>0.7</v>
      </c>
      <c r="H205">
        <v>55</v>
      </c>
      <c r="I205" s="2">
        <v>22656</v>
      </c>
    </row>
    <row r="206" spans="1:9" x14ac:dyDescent="0.25">
      <c r="A206" s="4">
        <v>44807</v>
      </c>
      <c r="B206" t="s">
        <v>43</v>
      </c>
      <c r="C206" t="s">
        <v>4</v>
      </c>
      <c r="D206">
        <v>1</v>
      </c>
      <c r="E206">
        <v>1</v>
      </c>
      <c r="F206">
        <v>1.4</v>
      </c>
      <c r="G206">
        <v>1.1000000000000001</v>
      </c>
      <c r="H206">
        <v>54</v>
      </c>
      <c r="I206" s="2">
        <v>35366</v>
      </c>
    </row>
    <row r="207" spans="1:9" x14ac:dyDescent="0.25">
      <c r="A207" s="4">
        <v>44812</v>
      </c>
      <c r="B207" t="s">
        <v>44</v>
      </c>
      <c r="C207" t="s">
        <v>18</v>
      </c>
      <c r="D207">
        <v>1</v>
      </c>
      <c r="E207">
        <v>0</v>
      </c>
      <c r="F207">
        <v>1.1000000000000001</v>
      </c>
      <c r="G207">
        <v>0.8</v>
      </c>
      <c r="H207">
        <v>45</v>
      </c>
      <c r="I207" s="2">
        <v>74310</v>
      </c>
    </row>
    <row r="208" spans="1:9" x14ac:dyDescent="0.25">
      <c r="A208" s="4">
        <v>44815</v>
      </c>
      <c r="B208" t="s">
        <v>44</v>
      </c>
      <c r="C208" t="s">
        <v>19</v>
      </c>
      <c r="D208">
        <v>1</v>
      </c>
      <c r="E208">
        <v>2</v>
      </c>
      <c r="F208">
        <v>1.2</v>
      </c>
      <c r="G208">
        <v>1.1000000000000001</v>
      </c>
      <c r="H208">
        <v>66</v>
      </c>
      <c r="I208" s="2">
        <v>11112</v>
      </c>
    </row>
    <row r="209" spans="1:9" x14ac:dyDescent="0.25">
      <c r="A209" s="4">
        <v>44819</v>
      </c>
      <c r="B209" t="s">
        <v>43</v>
      </c>
      <c r="C209" t="s">
        <v>18</v>
      </c>
      <c r="D209">
        <v>2</v>
      </c>
      <c r="E209">
        <v>1</v>
      </c>
      <c r="F209">
        <v>1.1000000000000001</v>
      </c>
      <c r="G209">
        <v>0.2</v>
      </c>
      <c r="H209">
        <v>70</v>
      </c>
      <c r="I209" s="2">
        <v>28587</v>
      </c>
    </row>
    <row r="210" spans="1:9" x14ac:dyDescent="0.25">
      <c r="A210" s="4">
        <v>44822</v>
      </c>
      <c r="B210" t="s">
        <v>43</v>
      </c>
      <c r="C210" t="s">
        <v>18</v>
      </c>
      <c r="D210">
        <v>2</v>
      </c>
      <c r="E210">
        <v>1</v>
      </c>
      <c r="F210">
        <v>1.9</v>
      </c>
      <c r="G210">
        <v>0.8</v>
      </c>
      <c r="H210">
        <v>62</v>
      </c>
      <c r="I210" s="2">
        <v>31511</v>
      </c>
    </row>
    <row r="211" spans="1:9" x14ac:dyDescent="0.25">
      <c r="A211" s="4">
        <v>44836</v>
      </c>
      <c r="B211" t="s">
        <v>44</v>
      </c>
      <c r="C211" t="s">
        <v>18</v>
      </c>
      <c r="D211">
        <v>5</v>
      </c>
      <c r="E211">
        <v>3</v>
      </c>
      <c r="F211">
        <v>2.1</v>
      </c>
      <c r="G211">
        <v>1</v>
      </c>
      <c r="H211">
        <v>59</v>
      </c>
      <c r="I211" s="2">
        <v>12217</v>
      </c>
    </row>
    <row r="212" spans="1:9" x14ac:dyDescent="0.25">
      <c r="A212" s="4">
        <v>44840</v>
      </c>
      <c r="B212" t="s">
        <v>44</v>
      </c>
      <c r="C212" t="s">
        <v>18</v>
      </c>
      <c r="D212">
        <v>2</v>
      </c>
      <c r="E212">
        <v>0</v>
      </c>
      <c r="F212">
        <v>1.5</v>
      </c>
      <c r="G212">
        <v>0.4</v>
      </c>
      <c r="H212">
        <v>65</v>
      </c>
      <c r="I212" s="2">
        <v>5427</v>
      </c>
    </row>
    <row r="213" spans="1:9" x14ac:dyDescent="0.25">
      <c r="A213" s="4">
        <v>44843</v>
      </c>
      <c r="B213" t="s">
        <v>43</v>
      </c>
      <c r="C213" t="s">
        <v>18</v>
      </c>
      <c r="D213">
        <v>1</v>
      </c>
      <c r="E213">
        <v>0</v>
      </c>
      <c r="F213">
        <v>1.2</v>
      </c>
      <c r="G213">
        <v>0.2</v>
      </c>
      <c r="H213">
        <v>60</v>
      </c>
      <c r="I213" s="2">
        <v>32689</v>
      </c>
    </row>
    <row r="214" spans="1:9" x14ac:dyDescent="0.25">
      <c r="A214" s="4">
        <v>44847</v>
      </c>
      <c r="B214" t="s">
        <v>43</v>
      </c>
      <c r="C214" t="s">
        <v>18</v>
      </c>
      <c r="D214">
        <v>3</v>
      </c>
      <c r="E214">
        <v>0</v>
      </c>
      <c r="F214">
        <v>2.2000000000000002</v>
      </c>
      <c r="G214">
        <v>0.2</v>
      </c>
      <c r="H214">
        <v>68</v>
      </c>
      <c r="I214" s="2">
        <v>25806</v>
      </c>
    </row>
    <row r="215" spans="1:9" x14ac:dyDescent="0.25">
      <c r="A215" s="4">
        <v>44850</v>
      </c>
      <c r="B215" t="s">
        <v>44</v>
      </c>
      <c r="C215" t="s">
        <v>18</v>
      </c>
      <c r="D215">
        <v>2</v>
      </c>
      <c r="E215">
        <v>1</v>
      </c>
      <c r="F215">
        <v>0.8</v>
      </c>
      <c r="G215">
        <v>0.5</v>
      </c>
      <c r="H215">
        <v>47</v>
      </c>
      <c r="I215" s="2">
        <v>13101</v>
      </c>
    </row>
    <row r="216" spans="1:9" x14ac:dyDescent="0.25">
      <c r="A216" s="4">
        <v>44853</v>
      </c>
      <c r="B216" t="s">
        <v>43</v>
      </c>
      <c r="C216" t="s">
        <v>18</v>
      </c>
      <c r="D216">
        <v>1</v>
      </c>
      <c r="E216">
        <v>0</v>
      </c>
      <c r="F216">
        <v>1.2</v>
      </c>
      <c r="G216">
        <v>0.9</v>
      </c>
      <c r="H216">
        <v>51</v>
      </c>
      <c r="I216" s="2">
        <v>27085</v>
      </c>
    </row>
    <row r="217" spans="1:9" x14ac:dyDescent="0.25">
      <c r="A217" s="4">
        <v>44856</v>
      </c>
      <c r="B217" t="s">
        <v>44</v>
      </c>
      <c r="C217" t="s">
        <v>19</v>
      </c>
      <c r="D217">
        <v>0</v>
      </c>
      <c r="E217">
        <v>1</v>
      </c>
      <c r="F217">
        <v>0.9</v>
      </c>
      <c r="G217">
        <v>0.8</v>
      </c>
      <c r="H217">
        <v>74</v>
      </c>
      <c r="I217" s="2">
        <v>21175</v>
      </c>
    </row>
    <row r="218" spans="1:9" x14ac:dyDescent="0.25">
      <c r="A218" s="4">
        <v>44861</v>
      </c>
      <c r="B218" t="s">
        <v>44</v>
      </c>
      <c r="C218" t="s">
        <v>18</v>
      </c>
      <c r="D218">
        <v>2</v>
      </c>
      <c r="E218">
        <v>0</v>
      </c>
      <c r="F218">
        <v>1.3</v>
      </c>
      <c r="G218">
        <v>0.3</v>
      </c>
      <c r="H218">
        <v>63</v>
      </c>
      <c r="I218" s="2">
        <v>11780</v>
      </c>
    </row>
    <row r="219" spans="1:9" x14ac:dyDescent="0.25">
      <c r="A219" s="4">
        <v>44864</v>
      </c>
      <c r="B219" t="s">
        <v>43</v>
      </c>
      <c r="C219" t="s">
        <v>19</v>
      </c>
      <c r="D219">
        <v>0</v>
      </c>
      <c r="E219">
        <v>2</v>
      </c>
      <c r="F219">
        <v>0.9</v>
      </c>
      <c r="G219">
        <v>1.3</v>
      </c>
      <c r="H219">
        <v>58</v>
      </c>
      <c r="I219" s="2">
        <v>32435</v>
      </c>
    </row>
    <row r="220" spans="1:9" x14ac:dyDescent="0.25">
      <c r="A220" s="4">
        <v>44868</v>
      </c>
      <c r="B220" t="s">
        <v>43</v>
      </c>
      <c r="C220" t="s">
        <v>19</v>
      </c>
      <c r="D220">
        <v>0</v>
      </c>
      <c r="E220">
        <v>1</v>
      </c>
      <c r="F220">
        <v>1.1000000000000001</v>
      </c>
      <c r="G220">
        <v>0.7</v>
      </c>
      <c r="H220">
        <v>47</v>
      </c>
      <c r="I220" s="2">
        <v>36744</v>
      </c>
    </row>
    <row r="221" spans="1:9" x14ac:dyDescent="0.25">
      <c r="A221" s="4">
        <v>44871</v>
      </c>
      <c r="B221" t="s">
        <v>43</v>
      </c>
      <c r="C221" t="s">
        <v>4</v>
      </c>
      <c r="D221">
        <v>1</v>
      </c>
      <c r="E221">
        <v>1</v>
      </c>
      <c r="F221">
        <v>1.1000000000000001</v>
      </c>
      <c r="G221">
        <v>0.9</v>
      </c>
      <c r="H221">
        <v>29</v>
      </c>
      <c r="I221" s="2">
        <v>32773</v>
      </c>
    </row>
    <row r="222" spans="1:9" x14ac:dyDescent="0.25">
      <c r="A222" s="4">
        <v>44874</v>
      </c>
      <c r="B222" t="s">
        <v>44</v>
      </c>
      <c r="C222" t="s">
        <v>18</v>
      </c>
      <c r="D222">
        <v>2</v>
      </c>
      <c r="E222">
        <v>1</v>
      </c>
      <c r="F222">
        <v>1.7</v>
      </c>
      <c r="G222">
        <v>0.6</v>
      </c>
      <c r="H222">
        <v>68</v>
      </c>
      <c r="I222" s="2">
        <v>34814</v>
      </c>
    </row>
    <row r="223" spans="1:9" x14ac:dyDescent="0.25">
      <c r="A223" s="4">
        <v>44878</v>
      </c>
      <c r="B223" t="s">
        <v>44</v>
      </c>
      <c r="C223" t="s">
        <v>18</v>
      </c>
      <c r="D223">
        <v>4</v>
      </c>
      <c r="E223">
        <v>1</v>
      </c>
      <c r="H223">
        <v>72</v>
      </c>
      <c r="I223" s="2">
        <v>4200</v>
      </c>
    </row>
    <row r="224" spans="1:9" x14ac:dyDescent="0.25">
      <c r="A224" s="4">
        <v>44916</v>
      </c>
      <c r="B224" t="s">
        <v>44</v>
      </c>
      <c r="C224" t="s">
        <v>18</v>
      </c>
      <c r="D224">
        <v>5</v>
      </c>
      <c r="E224">
        <v>0</v>
      </c>
      <c r="H224">
        <v>63</v>
      </c>
      <c r="I224" s="2">
        <v>4389</v>
      </c>
    </row>
    <row r="225" spans="1:9" x14ac:dyDescent="0.25">
      <c r="A225" s="4">
        <v>44926</v>
      </c>
      <c r="B225" t="s">
        <v>43</v>
      </c>
      <c r="C225" t="s">
        <v>18</v>
      </c>
      <c r="D225">
        <v>2</v>
      </c>
      <c r="E225">
        <v>0</v>
      </c>
      <c r="F225">
        <v>1.4</v>
      </c>
      <c r="G225">
        <v>0.4</v>
      </c>
      <c r="H225">
        <v>51</v>
      </c>
      <c r="I225" s="2">
        <v>34847</v>
      </c>
    </row>
    <row r="226" spans="1:9" x14ac:dyDescent="0.25">
      <c r="A226" s="4">
        <v>44930</v>
      </c>
      <c r="B226" t="s">
        <v>44</v>
      </c>
      <c r="C226" t="s">
        <v>18</v>
      </c>
      <c r="D226">
        <v>1</v>
      </c>
      <c r="E226">
        <v>0</v>
      </c>
      <c r="H226">
        <v>60</v>
      </c>
      <c r="I226" s="2">
        <v>15000</v>
      </c>
    </row>
    <row r="227" spans="1:9" x14ac:dyDescent="0.25">
      <c r="A227" s="4">
        <v>44934</v>
      </c>
      <c r="B227" t="s">
        <v>44</v>
      </c>
      <c r="C227" t="s">
        <v>18</v>
      </c>
      <c r="D227">
        <v>2</v>
      </c>
      <c r="E227">
        <v>0</v>
      </c>
      <c r="F227">
        <v>1.7</v>
      </c>
      <c r="G227">
        <v>0.6</v>
      </c>
      <c r="H227">
        <v>56</v>
      </c>
      <c r="I227" s="2">
        <v>12020</v>
      </c>
    </row>
    <row r="228" spans="1:9" x14ac:dyDescent="0.25">
      <c r="A228" s="4">
        <v>44940</v>
      </c>
      <c r="B228" t="s">
        <v>43</v>
      </c>
      <c r="C228" t="s">
        <v>18</v>
      </c>
      <c r="D228">
        <v>3</v>
      </c>
      <c r="E228">
        <v>1</v>
      </c>
      <c r="F228">
        <v>2</v>
      </c>
      <c r="G228">
        <v>0.3</v>
      </c>
      <c r="H228">
        <v>57</v>
      </c>
      <c r="I228" s="2">
        <v>38296</v>
      </c>
    </row>
    <row r="229" spans="1:9" x14ac:dyDescent="0.25">
      <c r="A229" s="4">
        <v>44943</v>
      </c>
      <c r="B229" t="s">
        <v>43</v>
      </c>
      <c r="C229" t="s">
        <v>18</v>
      </c>
      <c r="D229">
        <v>1</v>
      </c>
      <c r="E229">
        <v>0</v>
      </c>
      <c r="H229">
        <v>57</v>
      </c>
      <c r="I229" s="2">
        <v>23408</v>
      </c>
    </row>
    <row r="230" spans="1:9" x14ac:dyDescent="0.25">
      <c r="A230" s="4">
        <v>44947</v>
      </c>
      <c r="B230" t="s">
        <v>44</v>
      </c>
      <c r="C230" t="s">
        <v>18</v>
      </c>
      <c r="D230">
        <v>2</v>
      </c>
      <c r="E230">
        <v>0</v>
      </c>
      <c r="F230">
        <v>1.6</v>
      </c>
      <c r="G230">
        <v>0.9</v>
      </c>
      <c r="H230">
        <v>46</v>
      </c>
      <c r="I230" s="2">
        <v>12874</v>
      </c>
    </row>
    <row r="231" spans="1:9" x14ac:dyDescent="0.25">
      <c r="A231" s="4">
        <v>44951</v>
      </c>
      <c r="B231" t="s">
        <v>44</v>
      </c>
      <c r="C231" t="s">
        <v>19</v>
      </c>
      <c r="D231">
        <v>0</v>
      </c>
      <c r="E231">
        <v>1</v>
      </c>
      <c r="H231">
        <v>26</v>
      </c>
      <c r="I231" s="2">
        <v>59610</v>
      </c>
    </row>
    <row r="232" spans="1:9" x14ac:dyDescent="0.25">
      <c r="A232" s="4">
        <v>44955</v>
      </c>
      <c r="B232" t="s">
        <v>44</v>
      </c>
      <c r="C232" t="s">
        <v>4</v>
      </c>
      <c r="D232">
        <v>0</v>
      </c>
      <c r="E232">
        <v>0</v>
      </c>
      <c r="F232">
        <v>0.4</v>
      </c>
      <c r="G232">
        <v>1.3</v>
      </c>
      <c r="H232">
        <v>39</v>
      </c>
      <c r="I232" s="2">
        <v>58129</v>
      </c>
    </row>
    <row r="233" spans="1:9" x14ac:dyDescent="0.25">
      <c r="A233" s="4">
        <v>44962</v>
      </c>
      <c r="B233" t="s">
        <v>43</v>
      </c>
      <c r="C233" t="s">
        <v>19</v>
      </c>
      <c r="D233">
        <v>0</v>
      </c>
      <c r="E233">
        <v>1</v>
      </c>
      <c r="F233">
        <v>1.2</v>
      </c>
      <c r="G233">
        <v>0.7</v>
      </c>
      <c r="H233">
        <v>55</v>
      </c>
      <c r="I233" s="2">
        <v>32214</v>
      </c>
    </row>
    <row r="234" spans="1:9" x14ac:dyDescent="0.25">
      <c r="A234" s="4">
        <v>44970</v>
      </c>
      <c r="B234" t="s">
        <v>44</v>
      </c>
      <c r="C234" t="s">
        <v>18</v>
      </c>
      <c r="D234">
        <v>3</v>
      </c>
      <c r="E234">
        <v>2</v>
      </c>
      <c r="F234">
        <v>1.4</v>
      </c>
      <c r="G234">
        <v>1.2</v>
      </c>
      <c r="H234">
        <v>56</v>
      </c>
      <c r="I234" s="2">
        <v>15867</v>
      </c>
    </row>
    <row r="235" spans="1:9" x14ac:dyDescent="0.25">
      <c r="A235" s="4">
        <v>44975</v>
      </c>
      <c r="B235" t="s">
        <v>43</v>
      </c>
      <c r="C235" t="s">
        <v>4</v>
      </c>
      <c r="D235">
        <v>1</v>
      </c>
      <c r="E235">
        <v>1</v>
      </c>
      <c r="F235">
        <v>1.4</v>
      </c>
      <c r="G235">
        <v>1.4</v>
      </c>
      <c r="H235">
        <v>54</v>
      </c>
      <c r="I235" s="2">
        <v>29312</v>
      </c>
    </row>
    <row r="236" spans="1:9" x14ac:dyDescent="0.25">
      <c r="A236" s="4">
        <v>44982</v>
      </c>
      <c r="B236" t="s">
        <v>44</v>
      </c>
      <c r="C236" t="s">
        <v>19</v>
      </c>
      <c r="D236">
        <v>0</v>
      </c>
      <c r="E236">
        <v>1</v>
      </c>
      <c r="F236">
        <v>0.7</v>
      </c>
      <c r="G236">
        <v>0.5</v>
      </c>
      <c r="H236">
        <v>62</v>
      </c>
      <c r="I236" s="2">
        <v>37465</v>
      </c>
    </row>
    <row r="237" spans="1:9" x14ac:dyDescent="0.25">
      <c r="A237" s="4">
        <v>44988</v>
      </c>
      <c r="B237" t="s">
        <v>43</v>
      </c>
      <c r="C237" t="s">
        <v>4</v>
      </c>
      <c r="D237">
        <v>0</v>
      </c>
      <c r="E237">
        <v>0</v>
      </c>
      <c r="F237">
        <v>1.2</v>
      </c>
      <c r="G237">
        <v>0.6</v>
      </c>
      <c r="H237">
        <v>71</v>
      </c>
      <c r="I237" s="2">
        <v>28733</v>
      </c>
    </row>
    <row r="238" spans="1:9" x14ac:dyDescent="0.25">
      <c r="A238" s="4">
        <v>44994</v>
      </c>
      <c r="B238" t="s">
        <v>44</v>
      </c>
      <c r="C238" t="s">
        <v>19</v>
      </c>
      <c r="D238">
        <v>0</v>
      </c>
      <c r="E238">
        <v>2</v>
      </c>
      <c r="F238">
        <v>0.8</v>
      </c>
      <c r="G238">
        <v>2.2000000000000002</v>
      </c>
      <c r="H238">
        <v>59</v>
      </c>
      <c r="I238" s="2">
        <v>61608</v>
      </c>
    </row>
    <row r="239" spans="1:9" x14ac:dyDescent="0.25">
      <c r="A239" s="4">
        <v>44997</v>
      </c>
      <c r="B239" t="s">
        <v>44</v>
      </c>
      <c r="C239" t="s">
        <v>4</v>
      </c>
      <c r="D239">
        <v>1</v>
      </c>
      <c r="E239">
        <v>1</v>
      </c>
      <c r="F239">
        <v>0.5</v>
      </c>
      <c r="G239">
        <v>1.4</v>
      </c>
      <c r="H239">
        <v>62</v>
      </c>
      <c r="I239" s="2">
        <v>13840</v>
      </c>
    </row>
    <row r="240" spans="1:9" x14ac:dyDescent="0.25">
      <c r="A240" s="4">
        <v>45001</v>
      </c>
      <c r="B240" t="s">
        <v>43</v>
      </c>
      <c r="C240" t="s">
        <v>4</v>
      </c>
      <c r="D240">
        <v>0</v>
      </c>
      <c r="E240">
        <v>0</v>
      </c>
      <c r="F240">
        <v>1.7</v>
      </c>
      <c r="G240">
        <v>0.1</v>
      </c>
      <c r="H240">
        <v>75</v>
      </c>
      <c r="I240" s="2">
        <v>35054</v>
      </c>
    </row>
    <row r="241" spans="1:9" x14ac:dyDescent="0.25">
      <c r="A241" s="4">
        <v>45004</v>
      </c>
      <c r="B241" t="s">
        <v>43</v>
      </c>
      <c r="C241" t="s">
        <v>18</v>
      </c>
      <c r="D241">
        <v>2</v>
      </c>
      <c r="E241">
        <v>0</v>
      </c>
      <c r="F241">
        <v>2</v>
      </c>
      <c r="G241">
        <v>0.1</v>
      </c>
      <c r="H241">
        <v>60</v>
      </c>
      <c r="I241" s="2">
        <v>28496</v>
      </c>
    </row>
    <row r="242" spans="1:9" x14ac:dyDescent="0.25">
      <c r="A242" s="4">
        <v>45018</v>
      </c>
      <c r="B242" t="s">
        <v>44</v>
      </c>
      <c r="C242" t="s">
        <v>19</v>
      </c>
      <c r="D242">
        <v>0</v>
      </c>
      <c r="E242">
        <v>2</v>
      </c>
      <c r="F242">
        <v>1</v>
      </c>
      <c r="G242">
        <v>2.7</v>
      </c>
      <c r="H242">
        <v>48</v>
      </c>
      <c r="I242" s="2">
        <v>18768</v>
      </c>
    </row>
    <row r="243" spans="1:9" x14ac:dyDescent="0.25">
      <c r="A243" s="4">
        <v>45024</v>
      </c>
      <c r="B243" t="s">
        <v>43</v>
      </c>
      <c r="C243" t="s">
        <v>18</v>
      </c>
      <c r="D243">
        <v>2</v>
      </c>
      <c r="E243">
        <v>0</v>
      </c>
      <c r="F243">
        <v>2.1</v>
      </c>
      <c r="G243">
        <v>0.3</v>
      </c>
      <c r="H243">
        <v>60</v>
      </c>
      <c r="I243" s="2">
        <v>27606</v>
      </c>
    </row>
    <row r="244" spans="1:9" x14ac:dyDescent="0.25">
      <c r="A244" s="4">
        <v>45031</v>
      </c>
      <c r="B244" t="s">
        <v>44</v>
      </c>
      <c r="C244" t="s">
        <v>19</v>
      </c>
      <c r="D244">
        <v>0</v>
      </c>
      <c r="E244">
        <v>2</v>
      </c>
      <c r="F244">
        <v>1.4</v>
      </c>
      <c r="G244">
        <v>0.8</v>
      </c>
      <c r="H244">
        <v>49</v>
      </c>
      <c r="I244" s="2">
        <v>49287</v>
      </c>
    </row>
    <row r="245" spans="1:9" x14ac:dyDescent="0.25">
      <c r="A245" s="4">
        <v>45038</v>
      </c>
      <c r="B245" t="s">
        <v>43</v>
      </c>
      <c r="C245" t="s">
        <v>18</v>
      </c>
      <c r="D245">
        <v>2</v>
      </c>
      <c r="E245">
        <v>1</v>
      </c>
      <c r="F245">
        <v>0.6</v>
      </c>
      <c r="G245">
        <v>0.5</v>
      </c>
      <c r="H245">
        <v>60</v>
      </c>
      <c r="I245" s="2">
        <v>32054</v>
      </c>
    </row>
    <row r="246" spans="1:9" x14ac:dyDescent="0.25">
      <c r="A246" s="4">
        <v>45041</v>
      </c>
      <c r="B246" t="s">
        <v>44</v>
      </c>
      <c r="C246" t="s">
        <v>4</v>
      </c>
      <c r="D246">
        <v>0</v>
      </c>
      <c r="E246">
        <v>0</v>
      </c>
      <c r="F246">
        <v>0.9</v>
      </c>
      <c r="G246">
        <v>1</v>
      </c>
      <c r="H246">
        <v>42</v>
      </c>
      <c r="I246" s="2">
        <v>42294</v>
      </c>
    </row>
    <row r="247" spans="1:9" x14ac:dyDescent="0.25">
      <c r="A247" s="4">
        <v>45044</v>
      </c>
      <c r="B247" t="s">
        <v>44</v>
      </c>
      <c r="C247" t="s">
        <v>18</v>
      </c>
      <c r="D247">
        <v>2</v>
      </c>
      <c r="E247">
        <v>0</v>
      </c>
      <c r="F247">
        <v>1.4</v>
      </c>
      <c r="G247">
        <v>1.4</v>
      </c>
      <c r="H247">
        <v>49</v>
      </c>
      <c r="I247" s="2">
        <v>21570</v>
      </c>
    </row>
    <row r="248" spans="1:9" x14ac:dyDescent="0.25">
      <c r="A248" s="4">
        <v>45048</v>
      </c>
      <c r="B248" t="s">
        <v>43</v>
      </c>
      <c r="C248" t="s">
        <v>18</v>
      </c>
      <c r="D248">
        <v>2</v>
      </c>
      <c r="E248">
        <v>0</v>
      </c>
      <c r="F248">
        <v>1.9</v>
      </c>
      <c r="G248">
        <v>0.8</v>
      </c>
      <c r="H248">
        <v>53</v>
      </c>
      <c r="I248" s="2">
        <v>35314</v>
      </c>
    </row>
    <row r="249" spans="1:9" x14ac:dyDescent="0.25">
      <c r="A249" s="4">
        <v>45059</v>
      </c>
      <c r="B249" t="s">
        <v>43</v>
      </c>
      <c r="C249" t="s">
        <v>4</v>
      </c>
      <c r="D249">
        <v>2</v>
      </c>
      <c r="E249">
        <v>2</v>
      </c>
      <c r="F249">
        <v>2.7</v>
      </c>
      <c r="G249">
        <v>1.2</v>
      </c>
      <c r="H249">
        <v>51</v>
      </c>
      <c r="I249" s="2">
        <v>30027</v>
      </c>
    </row>
    <row r="250" spans="1:9" x14ac:dyDescent="0.25">
      <c r="A250" s="4">
        <v>45066</v>
      </c>
      <c r="B250" t="s">
        <v>44</v>
      </c>
      <c r="C250" t="s">
        <v>18</v>
      </c>
      <c r="D250">
        <v>2</v>
      </c>
      <c r="E250">
        <v>1</v>
      </c>
      <c r="F250">
        <v>2</v>
      </c>
      <c r="G250">
        <v>1.5</v>
      </c>
      <c r="H250">
        <v>33</v>
      </c>
      <c r="I250" s="2">
        <v>88049</v>
      </c>
    </row>
    <row r="251" spans="1:9" x14ac:dyDescent="0.25">
      <c r="A251" s="4">
        <v>45069</v>
      </c>
      <c r="B251" t="s">
        <v>43</v>
      </c>
      <c r="C251" t="s">
        <v>18</v>
      </c>
      <c r="D251">
        <v>1</v>
      </c>
      <c r="E251">
        <v>0</v>
      </c>
      <c r="F251">
        <v>1.9</v>
      </c>
      <c r="G251">
        <v>0.1</v>
      </c>
      <c r="H251">
        <v>72</v>
      </c>
      <c r="I251" s="2">
        <v>31574</v>
      </c>
    </row>
    <row r="252" spans="1:9" x14ac:dyDescent="0.25">
      <c r="A252" s="4">
        <v>45074</v>
      </c>
      <c r="B252" t="s">
        <v>44</v>
      </c>
      <c r="C252" t="s">
        <v>19</v>
      </c>
      <c r="D252">
        <v>1</v>
      </c>
      <c r="E252">
        <v>2</v>
      </c>
      <c r="F252">
        <v>1.2</v>
      </c>
      <c r="G252">
        <v>0.7</v>
      </c>
      <c r="H252">
        <v>50</v>
      </c>
      <c r="I252" s="2">
        <v>56169</v>
      </c>
    </row>
    <row r="253" spans="1:9" s="11" customFormat="1" x14ac:dyDescent="0.25">
      <c r="A253" s="13">
        <v>45081</v>
      </c>
      <c r="B253" s="11" t="s">
        <v>43</v>
      </c>
      <c r="C253" s="11" t="s">
        <v>18</v>
      </c>
      <c r="D253" s="11">
        <v>2</v>
      </c>
      <c r="E253" s="11">
        <v>1</v>
      </c>
      <c r="F253" s="11">
        <v>1.8</v>
      </c>
      <c r="G253" s="11">
        <v>0.4</v>
      </c>
      <c r="H253" s="11">
        <v>55</v>
      </c>
      <c r="I253" s="51">
        <v>35065</v>
      </c>
    </row>
    <row r="254" spans="1:9" x14ac:dyDescent="0.25">
      <c r="A254" s="4">
        <v>45150</v>
      </c>
      <c r="B254" t="s">
        <v>43</v>
      </c>
      <c r="C254" t="s">
        <v>4</v>
      </c>
      <c r="D254">
        <v>1</v>
      </c>
      <c r="E254">
        <v>1</v>
      </c>
      <c r="F254">
        <v>1</v>
      </c>
      <c r="G254">
        <v>0.8</v>
      </c>
      <c r="H254">
        <v>48</v>
      </c>
      <c r="I254" s="2">
        <v>30848</v>
      </c>
    </row>
    <row r="255" spans="1:9" x14ac:dyDescent="0.25">
      <c r="A255" s="4">
        <v>45157</v>
      </c>
      <c r="B255" t="s">
        <v>43</v>
      </c>
      <c r="C255" t="s">
        <v>4</v>
      </c>
      <c r="D255">
        <v>1</v>
      </c>
      <c r="E255">
        <v>1</v>
      </c>
      <c r="F255">
        <v>0.7</v>
      </c>
      <c r="G255">
        <v>1</v>
      </c>
      <c r="H255">
        <v>53</v>
      </c>
      <c r="I255" s="2">
        <v>30354</v>
      </c>
    </row>
    <row r="256" spans="1:9" x14ac:dyDescent="0.25">
      <c r="A256" s="4">
        <v>45163</v>
      </c>
      <c r="B256" t="s">
        <v>44</v>
      </c>
      <c r="C256" t="s">
        <v>4</v>
      </c>
      <c r="D256">
        <v>0</v>
      </c>
      <c r="E256">
        <v>0</v>
      </c>
      <c r="F256">
        <v>1</v>
      </c>
      <c r="G256">
        <v>0.9</v>
      </c>
      <c r="H256">
        <v>48</v>
      </c>
      <c r="I256" s="2">
        <v>25335</v>
      </c>
    </row>
    <row r="257" spans="1:9" x14ac:dyDescent="0.25">
      <c r="A257" s="4">
        <v>45171</v>
      </c>
      <c r="B257" t="s">
        <v>43</v>
      </c>
      <c r="C257" t="s">
        <v>18</v>
      </c>
      <c r="D257">
        <v>5</v>
      </c>
      <c r="E257">
        <v>3</v>
      </c>
      <c r="F257">
        <v>2.2999999999999998</v>
      </c>
      <c r="G257">
        <v>0.8</v>
      </c>
      <c r="H257">
        <v>61</v>
      </c>
      <c r="I257" s="2">
        <v>27808</v>
      </c>
    </row>
    <row r="258" spans="1:9" x14ac:dyDescent="0.25">
      <c r="A258" s="4">
        <v>45186</v>
      </c>
      <c r="B258" t="s">
        <v>44</v>
      </c>
      <c r="C258" t="s">
        <v>19</v>
      </c>
      <c r="D258">
        <v>1</v>
      </c>
      <c r="E258">
        <v>2</v>
      </c>
      <c r="F258">
        <v>1.6</v>
      </c>
      <c r="G258">
        <v>2</v>
      </c>
      <c r="H258">
        <v>48</v>
      </c>
      <c r="I258" s="2">
        <v>70092</v>
      </c>
    </row>
    <row r="259" spans="1:9" x14ac:dyDescent="0.25">
      <c r="A259" s="4">
        <v>45189</v>
      </c>
      <c r="B259" t="s">
        <v>43</v>
      </c>
      <c r="C259" t="s">
        <v>4</v>
      </c>
      <c r="D259">
        <v>1</v>
      </c>
      <c r="E259">
        <v>1</v>
      </c>
      <c r="F259">
        <v>1.3</v>
      </c>
      <c r="G259">
        <v>0.5</v>
      </c>
      <c r="H259">
        <v>44</v>
      </c>
      <c r="I259" s="2">
        <v>36591</v>
      </c>
    </row>
    <row r="260" spans="1:9" x14ac:dyDescent="0.25">
      <c r="A260" s="4">
        <v>45193</v>
      </c>
      <c r="B260" t="s">
        <v>43</v>
      </c>
      <c r="C260" t="s">
        <v>18</v>
      </c>
      <c r="D260">
        <v>4</v>
      </c>
      <c r="E260">
        <v>3</v>
      </c>
      <c r="F260">
        <v>2</v>
      </c>
      <c r="G260">
        <v>1.4</v>
      </c>
      <c r="H260">
        <v>61</v>
      </c>
      <c r="I260" s="2">
        <v>29568</v>
      </c>
    </row>
    <row r="261" spans="1:9" x14ac:dyDescent="0.25">
      <c r="A261" s="4">
        <v>45196</v>
      </c>
      <c r="B261" t="s">
        <v>44</v>
      </c>
      <c r="C261" t="s">
        <v>18</v>
      </c>
      <c r="D261">
        <v>1</v>
      </c>
      <c r="E261">
        <v>0</v>
      </c>
      <c r="F261">
        <v>0.2</v>
      </c>
      <c r="G261">
        <v>0.4</v>
      </c>
      <c r="H261">
        <v>62</v>
      </c>
      <c r="I261" s="2">
        <v>44200</v>
      </c>
    </row>
    <row r="262" spans="1:9" x14ac:dyDescent="0.25">
      <c r="A262" s="4">
        <v>45199</v>
      </c>
      <c r="B262" t="s">
        <v>43</v>
      </c>
      <c r="C262" t="s">
        <v>18</v>
      </c>
      <c r="D262">
        <v>3</v>
      </c>
      <c r="E262">
        <v>0</v>
      </c>
      <c r="F262">
        <v>1.4</v>
      </c>
      <c r="G262">
        <v>1.8</v>
      </c>
      <c r="H262">
        <v>51</v>
      </c>
      <c r="I262" s="2">
        <v>38229</v>
      </c>
    </row>
    <row r="263" spans="1:9" x14ac:dyDescent="0.25">
      <c r="A263" s="4">
        <v>45202</v>
      </c>
      <c r="B263" t="s">
        <v>44</v>
      </c>
      <c r="C263" t="s">
        <v>18</v>
      </c>
      <c r="D263">
        <v>2</v>
      </c>
      <c r="E263">
        <v>0</v>
      </c>
      <c r="F263">
        <v>1.2</v>
      </c>
      <c r="G263">
        <v>0.6</v>
      </c>
      <c r="H263">
        <v>52</v>
      </c>
      <c r="I263" s="2">
        <v>28227</v>
      </c>
    </row>
    <row r="264" spans="1:9" x14ac:dyDescent="0.25">
      <c r="A264" s="4">
        <v>45207</v>
      </c>
      <c r="B264" t="s">
        <v>44</v>
      </c>
      <c r="C264" t="s">
        <v>19</v>
      </c>
      <c r="D264">
        <v>1</v>
      </c>
      <c r="E264">
        <v>2</v>
      </c>
      <c r="F264">
        <v>1.2</v>
      </c>
      <c r="G264">
        <v>2.2000000000000002</v>
      </c>
      <c r="H264">
        <v>62</v>
      </c>
      <c r="I264" s="2">
        <v>65607</v>
      </c>
    </row>
    <row r="265" spans="1:9" x14ac:dyDescent="0.25">
      <c r="A265" s="4">
        <v>45220</v>
      </c>
      <c r="B265" t="s">
        <v>43</v>
      </c>
      <c r="C265" t="s">
        <v>18</v>
      </c>
      <c r="D265">
        <v>1</v>
      </c>
      <c r="E265">
        <v>0</v>
      </c>
      <c r="F265">
        <v>1.3</v>
      </c>
      <c r="G265">
        <v>1.9</v>
      </c>
      <c r="H265">
        <v>56</v>
      </c>
      <c r="I265" s="2">
        <v>31279</v>
      </c>
    </row>
    <row r="266" spans="1:9" x14ac:dyDescent="0.25">
      <c r="A266" s="4">
        <v>45223</v>
      </c>
      <c r="B266" t="s">
        <v>44</v>
      </c>
      <c r="C266" t="s">
        <v>18</v>
      </c>
      <c r="D266">
        <v>1</v>
      </c>
      <c r="E266">
        <v>0</v>
      </c>
      <c r="F266">
        <v>0.9</v>
      </c>
      <c r="G266">
        <v>0.5</v>
      </c>
      <c r="H266">
        <v>62</v>
      </c>
      <c r="I266" s="2">
        <v>56002</v>
      </c>
    </row>
    <row r="267" spans="1:9" x14ac:dyDescent="0.25">
      <c r="A267" s="4">
        <v>45228</v>
      </c>
      <c r="B267" t="s">
        <v>44</v>
      </c>
      <c r="C267" t="s">
        <v>4</v>
      </c>
      <c r="D267">
        <v>2</v>
      </c>
      <c r="E267">
        <v>2</v>
      </c>
      <c r="F267">
        <v>2</v>
      </c>
      <c r="G267">
        <v>1</v>
      </c>
      <c r="H267">
        <v>45</v>
      </c>
      <c r="I267" s="2">
        <v>12790</v>
      </c>
    </row>
    <row r="268" spans="1:9" x14ac:dyDescent="0.25">
      <c r="A268" s="4">
        <v>45231</v>
      </c>
      <c r="B268" t="s">
        <v>44</v>
      </c>
      <c r="C268" t="s">
        <v>18</v>
      </c>
      <c r="D268">
        <v>1</v>
      </c>
      <c r="E268">
        <v>0</v>
      </c>
      <c r="H268">
        <v>71</v>
      </c>
      <c r="I268" s="2">
        <v>4000</v>
      </c>
    </row>
    <row r="269" spans="1:9" x14ac:dyDescent="0.25">
      <c r="A269" s="4">
        <v>45234</v>
      </c>
      <c r="B269" t="s">
        <v>43</v>
      </c>
      <c r="C269" t="s">
        <v>19</v>
      </c>
      <c r="D269">
        <v>0</v>
      </c>
      <c r="E269">
        <v>1</v>
      </c>
      <c r="F269">
        <v>0.9</v>
      </c>
      <c r="G269">
        <v>1.2</v>
      </c>
      <c r="H269">
        <v>51</v>
      </c>
      <c r="I269" s="2">
        <v>37555</v>
      </c>
    </row>
    <row r="270" spans="1:9" x14ac:dyDescent="0.25">
      <c r="A270" s="4">
        <v>45238</v>
      </c>
      <c r="B270" t="s">
        <v>43</v>
      </c>
      <c r="C270" t="s">
        <v>18</v>
      </c>
      <c r="D270">
        <v>3</v>
      </c>
      <c r="E270">
        <v>1</v>
      </c>
      <c r="F270">
        <v>3.3</v>
      </c>
      <c r="G270">
        <v>0.8</v>
      </c>
      <c r="H270">
        <v>52</v>
      </c>
      <c r="I270" s="2">
        <v>36815</v>
      </c>
    </row>
    <row r="271" spans="1:9" x14ac:dyDescent="0.25">
      <c r="A271" s="4">
        <v>45241</v>
      </c>
      <c r="B271" t="s">
        <v>44</v>
      </c>
      <c r="C271" t="s">
        <v>18</v>
      </c>
      <c r="D271">
        <v>3</v>
      </c>
      <c r="E271">
        <v>1</v>
      </c>
      <c r="F271">
        <v>2.4</v>
      </c>
      <c r="G271">
        <v>0.4</v>
      </c>
      <c r="H271">
        <v>53</v>
      </c>
      <c r="I271" s="2">
        <v>13016</v>
      </c>
    </row>
    <row r="272" spans="1:9" x14ac:dyDescent="0.25">
      <c r="A272" s="4">
        <v>45256</v>
      </c>
      <c r="B272" t="s">
        <v>43</v>
      </c>
      <c r="C272" t="s">
        <v>18</v>
      </c>
      <c r="D272">
        <v>2</v>
      </c>
      <c r="E272">
        <v>1</v>
      </c>
      <c r="F272">
        <v>0.7</v>
      </c>
      <c r="G272">
        <v>0.6</v>
      </c>
      <c r="H272">
        <v>49</v>
      </c>
      <c r="I272" s="2">
        <v>33879</v>
      </c>
    </row>
    <row r="273" spans="1:9" x14ac:dyDescent="0.25">
      <c r="A273" s="4">
        <v>45259</v>
      </c>
      <c r="B273" t="s">
        <v>43</v>
      </c>
      <c r="C273" t="s">
        <v>4</v>
      </c>
      <c r="D273">
        <v>0</v>
      </c>
      <c r="E273">
        <v>0</v>
      </c>
      <c r="F273">
        <v>1.3</v>
      </c>
      <c r="G273">
        <v>0.6</v>
      </c>
      <c r="H273">
        <v>71</v>
      </c>
      <c r="I273" s="2">
        <v>34419</v>
      </c>
    </row>
    <row r="274" spans="1:9" x14ac:dyDescent="0.25">
      <c r="A274" s="4">
        <v>45262</v>
      </c>
      <c r="B274" t="s">
        <v>44</v>
      </c>
      <c r="C274" t="s">
        <v>4</v>
      </c>
      <c r="D274">
        <v>1</v>
      </c>
      <c r="E274">
        <v>1</v>
      </c>
      <c r="F274">
        <v>1.7</v>
      </c>
      <c r="G274">
        <v>0.7</v>
      </c>
      <c r="H274">
        <v>71</v>
      </c>
      <c r="I274" s="2">
        <v>20859</v>
      </c>
    </row>
    <row r="275" spans="1:9" x14ac:dyDescent="0.25">
      <c r="A275" s="4">
        <v>45266</v>
      </c>
      <c r="B275" t="s">
        <v>44</v>
      </c>
      <c r="C275" t="s">
        <v>18</v>
      </c>
      <c r="D275">
        <v>1</v>
      </c>
      <c r="E275">
        <v>0</v>
      </c>
      <c r="H275">
        <v>71</v>
      </c>
      <c r="I275" s="2">
        <v>1233</v>
      </c>
    </row>
    <row r="276" spans="1:9" x14ac:dyDescent="0.25">
      <c r="A276" s="4">
        <v>45269</v>
      </c>
      <c r="B276" t="s">
        <v>44</v>
      </c>
      <c r="C276" t="s">
        <v>18</v>
      </c>
      <c r="D276">
        <v>3</v>
      </c>
      <c r="E276">
        <v>0</v>
      </c>
      <c r="F276">
        <v>1.5</v>
      </c>
      <c r="G276">
        <v>2.2000000000000002</v>
      </c>
      <c r="H276">
        <v>47</v>
      </c>
      <c r="I276" s="2">
        <v>19344</v>
      </c>
    </row>
    <row r="277" spans="1:9" x14ac:dyDescent="0.25">
      <c r="A277" s="4">
        <v>45272</v>
      </c>
      <c r="B277" t="s">
        <v>44</v>
      </c>
      <c r="C277" t="s">
        <v>4</v>
      </c>
      <c r="D277">
        <v>0</v>
      </c>
      <c r="E277">
        <v>0</v>
      </c>
      <c r="F277">
        <v>0.7</v>
      </c>
      <c r="G277">
        <v>0.7</v>
      </c>
      <c r="H277">
        <v>55</v>
      </c>
      <c r="I277" s="2">
        <v>69010</v>
      </c>
    </row>
    <row r="278" spans="1:9" x14ac:dyDescent="0.25">
      <c r="A278" s="4">
        <v>45277</v>
      </c>
      <c r="B278" t="s">
        <v>43</v>
      </c>
      <c r="C278" t="s">
        <v>4</v>
      </c>
      <c r="D278">
        <v>0</v>
      </c>
      <c r="E278">
        <v>0</v>
      </c>
      <c r="F278">
        <v>1.1000000000000001</v>
      </c>
      <c r="G278">
        <v>1.1000000000000001</v>
      </c>
      <c r="H278">
        <v>57</v>
      </c>
      <c r="I278" s="2">
        <v>33172</v>
      </c>
    </row>
    <row r="279" spans="1:9" x14ac:dyDescent="0.25">
      <c r="A279" s="4">
        <v>45281</v>
      </c>
      <c r="B279" t="s">
        <v>44</v>
      </c>
      <c r="C279" t="s">
        <v>4</v>
      </c>
      <c r="D279">
        <v>0</v>
      </c>
      <c r="E279">
        <v>0</v>
      </c>
      <c r="F279">
        <v>0.5</v>
      </c>
      <c r="G279">
        <v>1</v>
      </c>
      <c r="H279">
        <v>60</v>
      </c>
      <c r="I279" s="2">
        <v>17693</v>
      </c>
    </row>
    <row r="280" spans="1:9" x14ac:dyDescent="0.25">
      <c r="A280" s="4">
        <v>45293</v>
      </c>
      <c r="B280" t="s">
        <v>43</v>
      </c>
      <c r="C280" t="s">
        <v>4</v>
      </c>
      <c r="D280">
        <v>1</v>
      </c>
      <c r="E280">
        <v>1</v>
      </c>
      <c r="F280">
        <v>1.2</v>
      </c>
      <c r="G280">
        <v>1</v>
      </c>
      <c r="H280">
        <v>53</v>
      </c>
      <c r="I280" s="2">
        <v>34051</v>
      </c>
    </row>
    <row r="281" spans="1:9" x14ac:dyDescent="0.25">
      <c r="A281" s="4">
        <v>45298</v>
      </c>
      <c r="B281" t="s">
        <v>44</v>
      </c>
      <c r="C281" t="s">
        <v>18</v>
      </c>
      <c r="D281">
        <v>1</v>
      </c>
      <c r="E281">
        <v>0</v>
      </c>
      <c r="H281">
        <v>61</v>
      </c>
      <c r="I281" s="2">
        <v>22111</v>
      </c>
    </row>
    <row r="282" spans="1:9" x14ac:dyDescent="0.25">
      <c r="A282" s="4">
        <v>45304</v>
      </c>
      <c r="B282" t="s">
        <v>44</v>
      </c>
      <c r="C282" t="s">
        <v>19</v>
      </c>
      <c r="D282">
        <v>1</v>
      </c>
      <c r="E282">
        <v>2</v>
      </c>
      <c r="F282">
        <v>1.1000000000000001</v>
      </c>
      <c r="G282">
        <v>1.6</v>
      </c>
      <c r="H282">
        <v>51</v>
      </c>
      <c r="I282" s="2">
        <v>51475</v>
      </c>
    </row>
    <row r="283" spans="1:9" x14ac:dyDescent="0.25">
      <c r="A283" s="4">
        <v>45308</v>
      </c>
      <c r="B283" t="s">
        <v>44</v>
      </c>
      <c r="C283" t="s">
        <v>18</v>
      </c>
      <c r="D283">
        <v>2</v>
      </c>
      <c r="E283">
        <v>0</v>
      </c>
      <c r="H283">
        <v>58</v>
      </c>
      <c r="I283" s="2">
        <v>21116</v>
      </c>
    </row>
    <row r="284" spans="1:9" x14ac:dyDescent="0.25">
      <c r="A284" s="4">
        <v>45311</v>
      </c>
      <c r="B284" t="s">
        <v>44</v>
      </c>
      <c r="C284" t="s">
        <v>18</v>
      </c>
      <c r="D284">
        <v>1</v>
      </c>
      <c r="E284">
        <v>0</v>
      </c>
      <c r="F284">
        <v>0.8</v>
      </c>
      <c r="G284">
        <v>0.3</v>
      </c>
      <c r="H284">
        <v>51</v>
      </c>
      <c r="I284" s="2">
        <v>20901</v>
      </c>
    </row>
    <row r="285" spans="1:9" x14ac:dyDescent="0.25">
      <c r="A285" s="4">
        <v>45314</v>
      </c>
      <c r="B285" t="s">
        <v>44</v>
      </c>
      <c r="C285" t="s">
        <v>18</v>
      </c>
      <c r="D285">
        <v>2</v>
      </c>
      <c r="E285">
        <v>1</v>
      </c>
      <c r="H285">
        <v>54</v>
      </c>
      <c r="I285" s="2">
        <v>20903</v>
      </c>
    </row>
    <row r="286" spans="1:9" x14ac:dyDescent="0.25">
      <c r="A286" s="4">
        <v>45318</v>
      </c>
      <c r="B286" t="s">
        <v>43</v>
      </c>
      <c r="C286" t="s">
        <v>4</v>
      </c>
      <c r="D286">
        <v>0</v>
      </c>
      <c r="E286">
        <v>0</v>
      </c>
      <c r="F286">
        <v>0.2</v>
      </c>
      <c r="G286">
        <v>0.1</v>
      </c>
      <c r="H286">
        <v>51</v>
      </c>
      <c r="I286" s="2">
        <v>32528</v>
      </c>
    </row>
    <row r="287" spans="1:9" x14ac:dyDescent="0.25">
      <c r="A287" s="4">
        <v>45325</v>
      </c>
      <c r="B287" t="s">
        <v>44</v>
      </c>
      <c r="C287" t="s">
        <v>4</v>
      </c>
      <c r="D287">
        <v>0</v>
      </c>
      <c r="E287">
        <v>0</v>
      </c>
      <c r="F287">
        <v>0.6</v>
      </c>
      <c r="G287">
        <v>0.7</v>
      </c>
      <c r="H287">
        <v>51</v>
      </c>
      <c r="I287" s="2">
        <v>13755</v>
      </c>
    </row>
    <row r="288" spans="1:9" x14ac:dyDescent="0.25">
      <c r="A288" s="4">
        <v>45328</v>
      </c>
      <c r="B288" t="s">
        <v>44</v>
      </c>
      <c r="C288" t="s">
        <v>4</v>
      </c>
      <c r="D288">
        <v>0</v>
      </c>
      <c r="E288">
        <v>0</v>
      </c>
      <c r="H288">
        <v>69</v>
      </c>
      <c r="I288" s="2">
        <v>22051</v>
      </c>
    </row>
    <row r="289" spans="1:9" x14ac:dyDescent="0.25">
      <c r="A289" s="4">
        <v>45332</v>
      </c>
      <c r="B289" t="s">
        <v>43</v>
      </c>
      <c r="C289" t="s">
        <v>19</v>
      </c>
      <c r="D289">
        <v>0</v>
      </c>
      <c r="E289">
        <v>1</v>
      </c>
      <c r="F289">
        <v>1.5</v>
      </c>
      <c r="G289">
        <v>0.5</v>
      </c>
      <c r="H289">
        <v>68</v>
      </c>
      <c r="I289" s="2">
        <v>32905</v>
      </c>
    </row>
    <row r="290" spans="1:9" x14ac:dyDescent="0.25">
      <c r="A290" s="4">
        <v>45336</v>
      </c>
      <c r="B290" t="s">
        <v>44</v>
      </c>
      <c r="C290" t="s">
        <v>19</v>
      </c>
      <c r="D290">
        <v>0</v>
      </c>
      <c r="E290">
        <v>2</v>
      </c>
      <c r="F290">
        <v>0.7</v>
      </c>
      <c r="G290">
        <v>1.2</v>
      </c>
      <c r="H290">
        <v>38</v>
      </c>
      <c r="I290" s="2">
        <v>46435</v>
      </c>
    </row>
    <row r="291" spans="1:9" x14ac:dyDescent="0.25">
      <c r="A291" s="4">
        <v>45340</v>
      </c>
      <c r="B291" t="s">
        <v>44</v>
      </c>
      <c r="C291" t="s">
        <v>18</v>
      </c>
      <c r="D291">
        <v>2</v>
      </c>
      <c r="E291">
        <v>1</v>
      </c>
      <c r="F291">
        <v>1.1000000000000001</v>
      </c>
      <c r="G291">
        <v>0.1</v>
      </c>
      <c r="H291">
        <v>67</v>
      </c>
      <c r="I291" s="2">
        <v>18153</v>
      </c>
    </row>
    <row r="292" spans="1:9" x14ac:dyDescent="0.25">
      <c r="A292" s="4">
        <v>45345</v>
      </c>
      <c r="B292" t="s">
        <v>43</v>
      </c>
      <c r="C292" t="s">
        <v>19</v>
      </c>
      <c r="D292">
        <v>1</v>
      </c>
      <c r="E292">
        <v>3</v>
      </c>
      <c r="F292">
        <v>1.5</v>
      </c>
      <c r="G292">
        <v>1</v>
      </c>
      <c r="H292">
        <v>70</v>
      </c>
      <c r="I292" s="2">
        <v>30609</v>
      </c>
    </row>
    <row r="293" spans="1:9" x14ac:dyDescent="0.25">
      <c r="A293" s="4">
        <v>45349</v>
      </c>
      <c r="B293" t="s">
        <v>43</v>
      </c>
      <c r="C293" t="s">
        <v>4</v>
      </c>
      <c r="D293" t="s">
        <v>278</v>
      </c>
      <c r="E293" t="s">
        <v>257</v>
      </c>
      <c r="H293">
        <v>62</v>
      </c>
      <c r="I293" s="2">
        <v>35781</v>
      </c>
    </row>
    <row r="294" spans="1:9" x14ac:dyDescent="0.25">
      <c r="A294" s="4">
        <v>45353</v>
      </c>
      <c r="B294" t="s">
        <v>44</v>
      </c>
      <c r="C294" t="s">
        <v>19</v>
      </c>
      <c r="D294">
        <v>2</v>
      </c>
      <c r="E294">
        <v>3</v>
      </c>
      <c r="F294">
        <v>1.5</v>
      </c>
      <c r="G294">
        <v>2</v>
      </c>
      <c r="H294">
        <v>61</v>
      </c>
      <c r="I294" s="2">
        <v>35884</v>
      </c>
    </row>
    <row r="295" spans="1:9" x14ac:dyDescent="0.25">
      <c r="A295" s="4">
        <v>45356</v>
      </c>
      <c r="B295" t="s">
        <v>43</v>
      </c>
      <c r="C295" t="s">
        <v>19</v>
      </c>
      <c r="D295">
        <v>1</v>
      </c>
      <c r="E295">
        <v>2</v>
      </c>
      <c r="F295">
        <v>0.9</v>
      </c>
      <c r="G295">
        <v>1.4</v>
      </c>
      <c r="H295">
        <v>44</v>
      </c>
      <c r="I295" s="2">
        <v>39336</v>
      </c>
    </row>
    <row r="296" spans="1:9" x14ac:dyDescent="0.25">
      <c r="A296" s="4">
        <v>45360</v>
      </c>
      <c r="B296" t="s">
        <v>44</v>
      </c>
      <c r="C296" t="s">
        <v>18</v>
      </c>
      <c r="D296">
        <v>3</v>
      </c>
      <c r="E296">
        <v>2</v>
      </c>
      <c r="F296">
        <v>2.1</v>
      </c>
      <c r="G296">
        <v>1.7</v>
      </c>
      <c r="H296">
        <v>63</v>
      </c>
      <c r="I296" s="2">
        <v>9214</v>
      </c>
    </row>
    <row r="297" spans="1:9" x14ac:dyDescent="0.25">
      <c r="A297" s="4">
        <v>45366</v>
      </c>
      <c r="B297" t="s">
        <v>43</v>
      </c>
      <c r="C297" t="s">
        <v>18</v>
      </c>
      <c r="D297">
        <v>2</v>
      </c>
      <c r="E297">
        <v>0</v>
      </c>
      <c r="F297">
        <v>1.9</v>
      </c>
      <c r="G297">
        <v>0.8</v>
      </c>
      <c r="H297">
        <v>63</v>
      </c>
      <c r="I297" s="2">
        <v>31000</v>
      </c>
    </row>
    <row r="298" spans="1:9" x14ac:dyDescent="0.25">
      <c r="A298" s="4">
        <v>45382</v>
      </c>
      <c r="B298" t="s">
        <v>44</v>
      </c>
      <c r="C298" t="s">
        <v>18</v>
      </c>
      <c r="D298">
        <v>1</v>
      </c>
      <c r="E298">
        <v>0</v>
      </c>
      <c r="F298">
        <v>0.9</v>
      </c>
      <c r="G298">
        <v>0.3</v>
      </c>
      <c r="H298">
        <v>59</v>
      </c>
      <c r="I298" s="2">
        <v>18575</v>
      </c>
    </row>
    <row r="299" spans="1:9" x14ac:dyDescent="0.25">
      <c r="A299" s="4">
        <v>45396</v>
      </c>
      <c r="B299" t="s">
        <v>43</v>
      </c>
      <c r="C299" t="s">
        <v>4</v>
      </c>
      <c r="D299">
        <v>2</v>
      </c>
      <c r="E299">
        <v>2</v>
      </c>
      <c r="F299">
        <v>1.5</v>
      </c>
      <c r="G299">
        <v>1.6</v>
      </c>
      <c r="H299">
        <v>50</v>
      </c>
      <c r="I299" s="2">
        <v>26520</v>
      </c>
    </row>
    <row r="300" spans="1:9" x14ac:dyDescent="0.25">
      <c r="A300" s="4">
        <v>45403</v>
      </c>
      <c r="B300" t="s">
        <v>44</v>
      </c>
      <c r="C300" t="s">
        <v>4</v>
      </c>
      <c r="D300">
        <v>1</v>
      </c>
      <c r="E300">
        <v>1</v>
      </c>
      <c r="F300">
        <v>1.2</v>
      </c>
      <c r="G300">
        <v>0.5</v>
      </c>
      <c r="H300">
        <v>59</v>
      </c>
      <c r="I300" s="2">
        <v>12228</v>
      </c>
    </row>
    <row r="301" spans="1:9" x14ac:dyDescent="0.25">
      <c r="A301" s="4">
        <v>45408</v>
      </c>
      <c r="B301" t="s">
        <v>43</v>
      </c>
      <c r="C301" t="s">
        <v>19</v>
      </c>
      <c r="D301">
        <v>0</v>
      </c>
      <c r="E301">
        <v>1</v>
      </c>
      <c r="F301">
        <v>0.6</v>
      </c>
      <c r="G301">
        <v>0.4</v>
      </c>
      <c r="H301">
        <v>56</v>
      </c>
      <c r="I301" s="2">
        <v>37109</v>
      </c>
    </row>
    <row r="302" spans="1:9" x14ac:dyDescent="0.25">
      <c r="A302" s="4">
        <v>45416</v>
      </c>
      <c r="B302" t="s">
        <v>43</v>
      </c>
      <c r="C302" t="s">
        <v>18</v>
      </c>
      <c r="D302">
        <v>2</v>
      </c>
      <c r="E302">
        <v>0</v>
      </c>
      <c r="F302">
        <v>0.6</v>
      </c>
      <c r="G302">
        <v>0.5</v>
      </c>
      <c r="H302">
        <v>52</v>
      </c>
      <c r="I302" s="2">
        <v>29330</v>
      </c>
    </row>
    <row r="303" spans="1:9" x14ac:dyDescent="0.25">
      <c r="A303" s="4">
        <v>45425</v>
      </c>
      <c r="B303" t="s">
        <v>44</v>
      </c>
      <c r="C303" t="s">
        <v>19</v>
      </c>
      <c r="D303">
        <v>0</v>
      </c>
      <c r="E303">
        <v>2</v>
      </c>
      <c r="F303">
        <v>0.7</v>
      </c>
      <c r="G303">
        <v>2.1</v>
      </c>
      <c r="H303">
        <v>44</v>
      </c>
      <c r="I303" s="2">
        <v>35829</v>
      </c>
    </row>
    <row r="304" spans="1:9" x14ac:dyDescent="0.25">
      <c r="A304" s="4">
        <v>45428</v>
      </c>
      <c r="B304" t="s">
        <v>43</v>
      </c>
      <c r="C304" t="s">
        <v>18</v>
      </c>
      <c r="D304">
        <v>1</v>
      </c>
      <c r="E304">
        <v>0</v>
      </c>
      <c r="F304">
        <v>1.3</v>
      </c>
      <c r="G304">
        <v>0.8</v>
      </c>
      <c r="H304">
        <v>57</v>
      </c>
      <c r="I304" s="2">
        <v>25067</v>
      </c>
    </row>
    <row r="305" spans="1:9" x14ac:dyDescent="0.25">
      <c r="A305" s="4">
        <v>45431</v>
      </c>
      <c r="B305" t="s">
        <v>44</v>
      </c>
      <c r="C305" t="s">
        <v>18</v>
      </c>
      <c r="D305">
        <v>2</v>
      </c>
      <c r="E305">
        <v>0</v>
      </c>
      <c r="F305">
        <v>0.4</v>
      </c>
      <c r="G305">
        <v>1.7</v>
      </c>
      <c r="H305">
        <v>33</v>
      </c>
      <c r="I305" s="2">
        <v>58036</v>
      </c>
    </row>
    <row r="306" spans="1:9" s="11" customFormat="1" x14ac:dyDescent="0.25">
      <c r="A306" s="13">
        <v>45437</v>
      </c>
      <c r="B306" s="11" t="s">
        <v>43</v>
      </c>
      <c r="C306" s="11" t="s">
        <v>19</v>
      </c>
      <c r="D306" s="11">
        <v>0</v>
      </c>
      <c r="E306" s="11">
        <v>2</v>
      </c>
      <c r="F306" s="11">
        <v>0.6</v>
      </c>
      <c r="G306" s="11">
        <v>2.2000000000000002</v>
      </c>
      <c r="H306" s="11">
        <v>59</v>
      </c>
      <c r="I306" s="51">
        <v>30678</v>
      </c>
    </row>
    <row r="307" spans="1:9" x14ac:dyDescent="0.25">
      <c r="A307" s="4">
        <v>45522</v>
      </c>
      <c r="B307" t="s">
        <v>43</v>
      </c>
      <c r="C307" t="s">
        <v>19</v>
      </c>
      <c r="D307">
        <v>1</v>
      </c>
      <c r="E307">
        <v>2</v>
      </c>
      <c r="F307">
        <v>1.1000000000000001</v>
      </c>
      <c r="G307">
        <v>1.1000000000000001</v>
      </c>
      <c r="H307">
        <v>66</v>
      </c>
      <c r="I307" s="2">
        <v>31763</v>
      </c>
    </row>
    <row r="308" spans="1:9" x14ac:dyDescent="0.25">
      <c r="A308" s="4">
        <v>45528</v>
      </c>
      <c r="B308" t="s">
        <v>44</v>
      </c>
      <c r="C308" t="s">
        <v>18</v>
      </c>
      <c r="D308">
        <v>1</v>
      </c>
      <c r="E308">
        <v>0</v>
      </c>
      <c r="F308">
        <v>0.7</v>
      </c>
      <c r="G308">
        <v>1.6</v>
      </c>
      <c r="H308">
        <v>66</v>
      </c>
      <c r="I308" s="2">
        <v>20900</v>
      </c>
    </row>
    <row r="309" spans="1:9" x14ac:dyDescent="0.25">
      <c r="A309" s="4">
        <v>45532</v>
      </c>
      <c r="B309" t="s">
        <v>43</v>
      </c>
      <c r="C309" t="s">
        <v>19</v>
      </c>
      <c r="D309">
        <v>1</v>
      </c>
      <c r="E309">
        <v>2</v>
      </c>
      <c r="F309">
        <v>1</v>
      </c>
      <c r="G309">
        <v>1.6</v>
      </c>
      <c r="H309">
        <v>53</v>
      </c>
      <c r="I309" s="2">
        <v>32220</v>
      </c>
    </row>
    <row r="310" spans="1:9" x14ac:dyDescent="0.25">
      <c r="A310" s="4">
        <v>45536</v>
      </c>
      <c r="B310" t="s">
        <v>44</v>
      </c>
      <c r="C310" t="s">
        <v>4</v>
      </c>
      <c r="D310">
        <v>0</v>
      </c>
      <c r="E310">
        <v>0</v>
      </c>
      <c r="F310">
        <v>0</v>
      </c>
      <c r="G310">
        <v>0.6</v>
      </c>
      <c r="H310">
        <v>47</v>
      </c>
      <c r="I310" s="2">
        <v>10929</v>
      </c>
    </row>
    <row r="311" spans="1:9" x14ac:dyDescent="0.25">
      <c r="A311" s="4">
        <v>45549</v>
      </c>
      <c r="B311" t="s">
        <v>43</v>
      </c>
      <c r="C311" t="s">
        <v>19</v>
      </c>
      <c r="D311">
        <v>0</v>
      </c>
      <c r="E311">
        <v>2</v>
      </c>
      <c r="F311">
        <v>1.1000000000000001</v>
      </c>
      <c r="G311">
        <v>2.2999999999999998</v>
      </c>
      <c r="H311">
        <v>48</v>
      </c>
      <c r="I311" s="2">
        <v>37370</v>
      </c>
    </row>
    <row r="312" spans="1:9" x14ac:dyDescent="0.25">
      <c r="A312" s="4">
        <v>45552</v>
      </c>
      <c r="B312" t="s">
        <v>44</v>
      </c>
      <c r="C312" t="s">
        <v>19</v>
      </c>
      <c r="D312">
        <v>0</v>
      </c>
      <c r="E312">
        <v>1</v>
      </c>
      <c r="F312">
        <v>0.6</v>
      </c>
      <c r="G312">
        <v>1.2</v>
      </c>
      <c r="H312">
        <v>60</v>
      </c>
      <c r="I312" s="2">
        <v>17132</v>
      </c>
    </row>
    <row r="313" spans="1:9" x14ac:dyDescent="0.25">
      <c r="A313" s="4">
        <v>45556</v>
      </c>
      <c r="B313" t="s">
        <v>44</v>
      </c>
      <c r="C313" t="s">
        <v>4</v>
      </c>
      <c r="D313">
        <v>0</v>
      </c>
      <c r="E313">
        <v>0</v>
      </c>
      <c r="F313">
        <v>1.4</v>
      </c>
      <c r="G313">
        <v>1</v>
      </c>
      <c r="H313">
        <v>64</v>
      </c>
      <c r="I313" s="2">
        <v>21171</v>
      </c>
    </row>
    <row r="314" spans="1:9" x14ac:dyDescent="0.25">
      <c r="A314" s="4">
        <v>45560</v>
      </c>
      <c r="B314" t="s">
        <v>44</v>
      </c>
      <c r="C314" t="s">
        <v>4</v>
      </c>
      <c r="D314">
        <v>1</v>
      </c>
      <c r="E314">
        <v>1</v>
      </c>
      <c r="F314">
        <v>0.7</v>
      </c>
      <c r="G314">
        <v>1.3</v>
      </c>
      <c r="H314">
        <v>45</v>
      </c>
      <c r="I314" s="2">
        <v>20545</v>
      </c>
    </row>
    <row r="315" spans="1:9" x14ac:dyDescent="0.25">
      <c r="A315" s="4">
        <v>45563</v>
      </c>
      <c r="B315" t="s">
        <v>43</v>
      </c>
      <c r="C315" t="s">
        <v>18</v>
      </c>
      <c r="D315">
        <v>3</v>
      </c>
      <c r="E315">
        <v>0</v>
      </c>
      <c r="F315">
        <v>3.4</v>
      </c>
      <c r="G315">
        <v>0.8</v>
      </c>
      <c r="H315">
        <v>61</v>
      </c>
      <c r="I315" s="2">
        <v>32332</v>
      </c>
    </row>
    <row r="316" spans="1:9" x14ac:dyDescent="0.25">
      <c r="A316" s="4">
        <v>45568</v>
      </c>
      <c r="B316" t="s">
        <v>43</v>
      </c>
      <c r="C316" t="s">
        <v>19</v>
      </c>
      <c r="D316">
        <v>1</v>
      </c>
      <c r="E316">
        <v>2</v>
      </c>
      <c r="F316">
        <v>1.2</v>
      </c>
      <c r="G316">
        <v>0.9</v>
      </c>
      <c r="H316">
        <v>57</v>
      </c>
      <c r="I316" s="2">
        <v>30985</v>
      </c>
    </row>
    <row r="317" spans="1:9" x14ac:dyDescent="0.25">
      <c r="A317" s="4">
        <v>45571</v>
      </c>
      <c r="B317" t="s">
        <v>43</v>
      </c>
      <c r="C317" t="s">
        <v>4</v>
      </c>
      <c r="D317">
        <v>1</v>
      </c>
      <c r="E317">
        <v>1</v>
      </c>
      <c r="F317">
        <v>1</v>
      </c>
      <c r="G317">
        <v>0.5</v>
      </c>
      <c r="H317">
        <v>66</v>
      </c>
      <c r="I317" s="2">
        <v>31983</v>
      </c>
    </row>
    <row r="318" spans="1:9" x14ac:dyDescent="0.25">
      <c r="A318" s="4">
        <v>45584</v>
      </c>
      <c r="B318" t="s">
        <v>44</v>
      </c>
      <c r="C318" t="s">
        <v>18</v>
      </c>
      <c r="D318">
        <v>1</v>
      </c>
      <c r="E318">
        <v>0</v>
      </c>
      <c r="F318">
        <v>1.7</v>
      </c>
      <c r="G318">
        <v>0.4</v>
      </c>
      <c r="H318">
        <v>53</v>
      </c>
      <c r="I318" s="2">
        <v>12602</v>
      </c>
    </row>
    <row r="319" spans="1:9" x14ac:dyDescent="0.25">
      <c r="A319" s="4">
        <v>45589</v>
      </c>
      <c r="B319" t="s">
        <v>44</v>
      </c>
      <c r="C319" t="s">
        <v>18</v>
      </c>
      <c r="D319">
        <v>2</v>
      </c>
      <c r="E319">
        <v>1</v>
      </c>
      <c r="F319">
        <v>1.3</v>
      </c>
      <c r="G319">
        <v>0.5</v>
      </c>
      <c r="H319">
        <v>63</v>
      </c>
    </row>
    <row r="320" spans="1:9" x14ac:dyDescent="0.25">
      <c r="A320" s="4">
        <v>45592</v>
      </c>
      <c r="B320" t="s">
        <v>43</v>
      </c>
      <c r="C320" t="s">
        <v>19</v>
      </c>
      <c r="D320">
        <v>0</v>
      </c>
      <c r="E320">
        <v>2</v>
      </c>
      <c r="F320">
        <v>1.6</v>
      </c>
      <c r="G320">
        <v>1</v>
      </c>
      <c r="H320">
        <v>74</v>
      </c>
      <c r="I320" s="2">
        <v>31729</v>
      </c>
    </row>
    <row r="321" spans="1:9" x14ac:dyDescent="0.25">
      <c r="A321" s="4">
        <v>45599</v>
      </c>
      <c r="B321" t="s">
        <v>44</v>
      </c>
      <c r="C321" t="s">
        <v>18</v>
      </c>
      <c r="D321">
        <v>2</v>
      </c>
      <c r="E321">
        <v>0</v>
      </c>
      <c r="F321">
        <v>1.4</v>
      </c>
      <c r="G321">
        <v>1.1000000000000001</v>
      </c>
      <c r="H321">
        <v>45</v>
      </c>
      <c r="I321" s="2">
        <v>37619</v>
      </c>
    </row>
    <row r="322" spans="1:9" x14ac:dyDescent="0.25">
      <c r="A322" s="4">
        <v>45603</v>
      </c>
      <c r="B322" t="s">
        <v>44</v>
      </c>
      <c r="C322" t="s">
        <v>19</v>
      </c>
      <c r="D322">
        <v>1</v>
      </c>
      <c r="E322">
        <v>2</v>
      </c>
      <c r="F322">
        <v>1.9</v>
      </c>
      <c r="G322">
        <v>0.5</v>
      </c>
      <c r="H322">
        <v>70</v>
      </c>
      <c r="I322" s="2">
        <v>11130</v>
      </c>
    </row>
    <row r="323" spans="1:9" x14ac:dyDescent="0.25">
      <c r="A323" s="4">
        <v>45606</v>
      </c>
      <c r="B323" t="s">
        <v>43</v>
      </c>
      <c r="C323" t="s">
        <v>18</v>
      </c>
      <c r="D323">
        <v>1</v>
      </c>
      <c r="E323">
        <v>0</v>
      </c>
      <c r="F323">
        <v>2</v>
      </c>
      <c r="G323">
        <v>0.7</v>
      </c>
      <c r="H323">
        <v>31</v>
      </c>
      <c r="I323" s="2">
        <v>36194</v>
      </c>
    </row>
    <row r="324" spans="1:9" x14ac:dyDescent="0.25">
      <c r="A324" s="4">
        <v>45617</v>
      </c>
      <c r="B324" t="s">
        <v>44</v>
      </c>
      <c r="C324" t="s">
        <v>18</v>
      </c>
      <c r="D324">
        <v>5</v>
      </c>
      <c r="E324">
        <v>0</v>
      </c>
      <c r="H324">
        <v>68</v>
      </c>
      <c r="I324" s="2">
        <v>6000</v>
      </c>
    </row>
    <row r="325" spans="1:9" x14ac:dyDescent="0.25">
      <c r="A325" s="4">
        <v>45620</v>
      </c>
      <c r="B325" t="s">
        <v>44</v>
      </c>
      <c r="C325" t="s">
        <v>19</v>
      </c>
      <c r="D325">
        <v>0</v>
      </c>
      <c r="E325">
        <v>1</v>
      </c>
      <c r="F325">
        <v>0.5</v>
      </c>
      <c r="G325">
        <v>1.3</v>
      </c>
      <c r="H325">
        <v>59</v>
      </c>
      <c r="I325" s="2">
        <v>50719</v>
      </c>
    </row>
    <row r="326" spans="1:9" x14ac:dyDescent="0.25">
      <c r="A326" s="4">
        <v>45624</v>
      </c>
      <c r="B326" t="s">
        <v>43</v>
      </c>
      <c r="C326" t="s">
        <v>18</v>
      </c>
      <c r="D326">
        <v>2</v>
      </c>
      <c r="E326">
        <v>0</v>
      </c>
      <c r="F326">
        <v>1.8</v>
      </c>
      <c r="G326">
        <v>0.7</v>
      </c>
      <c r="H326">
        <v>53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F613-6B4A-412A-A05A-4C5778CAB5DB}">
  <dimension ref="A1:Q54"/>
  <sheetViews>
    <sheetView workbookViewId="0">
      <selection activeCell="L27" sqref="L27"/>
    </sheetView>
  </sheetViews>
  <sheetFormatPr defaultRowHeight="15" x14ac:dyDescent="0.25"/>
  <cols>
    <col min="1" max="1" width="10.28515625" style="4" customWidth="1"/>
  </cols>
  <sheetData>
    <row r="1" spans="1:17" x14ac:dyDescent="0.25">
      <c r="A1" s="4" t="s">
        <v>537</v>
      </c>
    </row>
    <row r="2" spans="1:17" x14ac:dyDescent="0.25">
      <c r="A2" s="4" t="s">
        <v>538</v>
      </c>
    </row>
    <row r="3" spans="1:17" x14ac:dyDescent="0.25">
      <c r="A3" s="4" t="s">
        <v>539</v>
      </c>
    </row>
    <row r="4" spans="1:17" x14ac:dyDescent="0.25">
      <c r="A4" s="4" t="s">
        <v>540</v>
      </c>
    </row>
    <row r="7" spans="1:17" x14ac:dyDescent="0.25">
      <c r="A7" s="4" t="s">
        <v>0</v>
      </c>
      <c r="B7" t="s">
        <v>53</v>
      </c>
      <c r="C7" t="s">
        <v>54</v>
      </c>
      <c r="D7" t="s">
        <v>20</v>
      </c>
      <c r="E7" t="s">
        <v>21</v>
      </c>
      <c r="F7" t="s">
        <v>55</v>
      </c>
      <c r="G7" t="s">
        <v>56</v>
      </c>
      <c r="H7" t="s">
        <v>57</v>
      </c>
      <c r="I7" t="s">
        <v>24</v>
      </c>
    </row>
    <row r="8" spans="1:17" x14ac:dyDescent="0.25">
      <c r="A8" s="4">
        <v>43694</v>
      </c>
      <c r="B8" t="s">
        <v>44</v>
      </c>
      <c r="C8" t="s">
        <v>4</v>
      </c>
      <c r="D8">
        <v>1</v>
      </c>
      <c r="E8">
        <v>1</v>
      </c>
      <c r="F8">
        <v>1.8</v>
      </c>
      <c r="G8">
        <v>2.2999999999999998</v>
      </c>
      <c r="H8">
        <v>63</v>
      </c>
      <c r="I8" s="2">
        <v>41846</v>
      </c>
      <c r="L8" s="2">
        <f>AVERAGE(I11,I13,I15,I18,I20,I22,I24,I27,I30,I31,I32,I35,I36,I37,K39)</f>
        <v>30879.071428571428</v>
      </c>
      <c r="P8" s="1"/>
      <c r="Q8" s="1"/>
    </row>
    <row r="9" spans="1:17" x14ac:dyDescent="0.25">
      <c r="A9" s="4">
        <v>43702</v>
      </c>
      <c r="B9" t="s">
        <v>44</v>
      </c>
      <c r="C9" t="s">
        <v>18</v>
      </c>
      <c r="D9">
        <v>1</v>
      </c>
      <c r="E9">
        <v>0</v>
      </c>
      <c r="F9">
        <v>1.6</v>
      </c>
      <c r="G9">
        <v>1</v>
      </c>
      <c r="H9">
        <v>64</v>
      </c>
      <c r="I9" s="2">
        <v>18028</v>
      </c>
      <c r="P9" s="1"/>
    </row>
    <row r="10" spans="1:17" x14ac:dyDescent="0.25">
      <c r="A10" s="4">
        <v>43707</v>
      </c>
      <c r="B10" t="s">
        <v>44</v>
      </c>
      <c r="C10" t="s">
        <v>19</v>
      </c>
      <c r="D10">
        <v>0</v>
      </c>
      <c r="E10">
        <v>2</v>
      </c>
      <c r="F10">
        <v>0.2</v>
      </c>
      <c r="G10">
        <v>1</v>
      </c>
      <c r="H10">
        <v>60</v>
      </c>
      <c r="I10" s="2">
        <v>46697</v>
      </c>
      <c r="P10" s="1"/>
    </row>
    <row r="11" spans="1:17" s="48" customFormat="1" x14ac:dyDescent="0.25">
      <c r="A11" s="47">
        <v>43722</v>
      </c>
      <c r="B11" s="48" t="s">
        <v>43</v>
      </c>
      <c r="C11" s="48" t="s">
        <v>18</v>
      </c>
      <c r="D11" s="48">
        <v>2</v>
      </c>
      <c r="E11" s="48">
        <v>0</v>
      </c>
      <c r="F11" s="48">
        <v>2.1</v>
      </c>
      <c r="G11" s="48">
        <v>1.2</v>
      </c>
      <c r="H11" s="48">
        <v>54</v>
      </c>
      <c r="I11" s="49">
        <v>34719</v>
      </c>
      <c r="Q11" s="50"/>
    </row>
    <row r="12" spans="1:17" x14ac:dyDescent="0.25">
      <c r="A12" s="4">
        <v>43730</v>
      </c>
      <c r="B12" t="s">
        <v>44</v>
      </c>
      <c r="C12" t="s">
        <v>18</v>
      </c>
      <c r="D12">
        <v>3</v>
      </c>
      <c r="E12">
        <v>1</v>
      </c>
      <c r="F12">
        <v>1.3</v>
      </c>
      <c r="G12">
        <v>0.9</v>
      </c>
      <c r="H12">
        <v>44</v>
      </c>
      <c r="I12" s="2">
        <v>19173</v>
      </c>
      <c r="Q12" s="1"/>
    </row>
    <row r="13" spans="1:17" s="48" customFormat="1" x14ac:dyDescent="0.25">
      <c r="A13" s="47">
        <v>43734</v>
      </c>
      <c r="B13" s="48" t="s">
        <v>43</v>
      </c>
      <c r="C13" s="48" t="s">
        <v>18</v>
      </c>
      <c r="D13" s="48">
        <v>3</v>
      </c>
      <c r="E13" s="48">
        <v>0</v>
      </c>
      <c r="F13" s="48">
        <v>3.8</v>
      </c>
      <c r="G13" s="48">
        <v>0.3</v>
      </c>
      <c r="H13" s="48">
        <v>59</v>
      </c>
      <c r="I13" s="49">
        <v>28720</v>
      </c>
      <c r="P13" s="50"/>
    </row>
    <row r="14" spans="1:17" x14ac:dyDescent="0.25">
      <c r="A14" s="4">
        <v>43737</v>
      </c>
      <c r="B14" t="s">
        <v>44</v>
      </c>
      <c r="C14" t="s">
        <v>19</v>
      </c>
      <c r="D14">
        <v>2</v>
      </c>
      <c r="E14">
        <v>3</v>
      </c>
      <c r="F14">
        <v>0.8</v>
      </c>
      <c r="G14">
        <v>1.7</v>
      </c>
      <c r="H14">
        <v>48</v>
      </c>
      <c r="I14" s="2">
        <v>37414</v>
      </c>
      <c r="P14" s="1"/>
      <c r="Q14" s="1"/>
    </row>
    <row r="15" spans="1:17" s="48" customFormat="1" x14ac:dyDescent="0.25">
      <c r="A15" s="47">
        <v>43744</v>
      </c>
      <c r="B15" s="48" t="s">
        <v>43</v>
      </c>
      <c r="C15" s="48" t="s">
        <v>19</v>
      </c>
      <c r="D15" s="48">
        <v>1</v>
      </c>
      <c r="E15" s="48">
        <v>2</v>
      </c>
      <c r="F15" s="48">
        <v>0.6</v>
      </c>
      <c r="G15" s="48">
        <v>0.9</v>
      </c>
      <c r="H15" s="48">
        <v>50</v>
      </c>
      <c r="I15" s="49">
        <v>30153</v>
      </c>
      <c r="Q15" s="50"/>
    </row>
    <row r="16" spans="1:17" x14ac:dyDescent="0.25">
      <c r="A16" s="4">
        <v>43758</v>
      </c>
      <c r="B16" t="s">
        <v>43</v>
      </c>
      <c r="C16" t="s">
        <v>18</v>
      </c>
      <c r="D16">
        <v>3</v>
      </c>
      <c r="E16">
        <v>1</v>
      </c>
      <c r="F16">
        <v>1.4</v>
      </c>
      <c r="G16">
        <v>1</v>
      </c>
      <c r="H16">
        <v>51</v>
      </c>
      <c r="I16" s="2">
        <v>28032</v>
      </c>
      <c r="Q16" s="1"/>
    </row>
    <row r="17" spans="1:17" x14ac:dyDescent="0.25">
      <c r="A17" s="4">
        <v>43765</v>
      </c>
      <c r="B17" t="s">
        <v>44</v>
      </c>
      <c r="C17" t="s">
        <v>18</v>
      </c>
      <c r="D17">
        <v>1</v>
      </c>
      <c r="E17">
        <v>0</v>
      </c>
      <c r="F17">
        <v>0.8</v>
      </c>
      <c r="G17">
        <v>0.9</v>
      </c>
      <c r="H17">
        <v>58</v>
      </c>
      <c r="I17" s="2">
        <v>18002</v>
      </c>
      <c r="Q17" s="1"/>
    </row>
    <row r="18" spans="1:17" s="48" customFormat="1" x14ac:dyDescent="0.25">
      <c r="A18" s="47">
        <v>43768</v>
      </c>
      <c r="B18" s="48" t="s">
        <v>43</v>
      </c>
      <c r="C18" s="48" t="s">
        <v>19</v>
      </c>
      <c r="D18" s="48">
        <v>1</v>
      </c>
      <c r="E18" s="48">
        <v>2</v>
      </c>
      <c r="F18" s="48">
        <v>1.6</v>
      </c>
      <c r="G18" s="48">
        <v>1.8</v>
      </c>
      <c r="H18" s="48">
        <v>65</v>
      </c>
      <c r="I18" s="49">
        <v>28142</v>
      </c>
      <c r="L18" s="49"/>
      <c r="Q18" s="50"/>
    </row>
    <row r="19" spans="1:17" x14ac:dyDescent="0.25">
      <c r="A19" s="4">
        <v>43772</v>
      </c>
      <c r="B19" t="s">
        <v>44</v>
      </c>
      <c r="C19" t="s">
        <v>18</v>
      </c>
      <c r="D19">
        <v>2</v>
      </c>
      <c r="E19">
        <v>1</v>
      </c>
      <c r="F19">
        <v>1</v>
      </c>
      <c r="G19">
        <v>0.2</v>
      </c>
      <c r="H19">
        <v>61</v>
      </c>
      <c r="I19" s="2">
        <v>16898</v>
      </c>
    </row>
    <row r="20" spans="1:17" s="48" customFormat="1" x14ac:dyDescent="0.25">
      <c r="A20" s="47">
        <v>43777</v>
      </c>
      <c r="B20" s="48" t="s">
        <v>43</v>
      </c>
      <c r="C20" s="48" t="s">
        <v>4</v>
      </c>
      <c r="D20" s="48">
        <v>1</v>
      </c>
      <c r="E20" s="48">
        <v>1</v>
      </c>
      <c r="F20" s="48">
        <v>1.1000000000000001</v>
      </c>
      <c r="G20" s="48">
        <v>1</v>
      </c>
      <c r="H20" s="48">
        <v>65</v>
      </c>
      <c r="I20" s="49">
        <v>27684</v>
      </c>
      <c r="P20" s="50"/>
      <c r="Q20" s="50"/>
    </row>
    <row r="21" spans="1:17" x14ac:dyDescent="0.25">
      <c r="A21" s="4">
        <v>43792</v>
      </c>
      <c r="B21" t="s">
        <v>44</v>
      </c>
      <c r="C21" t="s">
        <v>19</v>
      </c>
      <c r="D21">
        <v>1</v>
      </c>
      <c r="E21">
        <v>3</v>
      </c>
      <c r="F21">
        <v>1.6</v>
      </c>
      <c r="G21">
        <v>1.4</v>
      </c>
      <c r="H21">
        <v>46</v>
      </c>
      <c r="I21" s="2">
        <v>69305</v>
      </c>
      <c r="Q21" s="1"/>
    </row>
    <row r="22" spans="1:17" s="48" customFormat="1" x14ac:dyDescent="0.25">
      <c r="A22" s="47">
        <v>43799</v>
      </c>
      <c r="B22" s="48" t="s">
        <v>43</v>
      </c>
      <c r="C22" s="48" t="s">
        <v>18</v>
      </c>
      <c r="D22" s="48">
        <v>4</v>
      </c>
      <c r="E22" s="48">
        <v>1</v>
      </c>
      <c r="F22" s="48">
        <v>1.1000000000000001</v>
      </c>
      <c r="G22" s="48">
        <v>0.6</v>
      </c>
      <c r="H22" s="48">
        <v>61</v>
      </c>
      <c r="I22" s="49">
        <v>28612</v>
      </c>
      <c r="P22" s="50"/>
    </row>
    <row r="23" spans="1:17" x14ac:dyDescent="0.25">
      <c r="A23" s="4">
        <v>43807</v>
      </c>
      <c r="B23" t="s">
        <v>44</v>
      </c>
      <c r="C23" t="s">
        <v>4</v>
      </c>
      <c r="D23">
        <v>0</v>
      </c>
      <c r="E23">
        <v>0</v>
      </c>
      <c r="F23">
        <v>1.7</v>
      </c>
      <c r="G23">
        <v>0.6</v>
      </c>
      <c r="H23">
        <v>65</v>
      </c>
      <c r="I23" s="2">
        <v>18654</v>
      </c>
      <c r="Q23" s="1"/>
    </row>
    <row r="24" spans="1:17" s="48" customFormat="1" x14ac:dyDescent="0.25">
      <c r="A24" s="47">
        <v>43813</v>
      </c>
      <c r="B24" s="48" t="s">
        <v>43</v>
      </c>
      <c r="C24" s="48" t="s">
        <v>4</v>
      </c>
      <c r="D24" s="48">
        <v>2</v>
      </c>
      <c r="E24" s="48">
        <v>2</v>
      </c>
      <c r="F24" s="48">
        <v>2.7</v>
      </c>
      <c r="G24" s="48">
        <v>1.2</v>
      </c>
      <c r="H24" s="48">
        <v>53</v>
      </c>
      <c r="I24" s="49">
        <v>36639</v>
      </c>
      <c r="Q24" s="50"/>
    </row>
    <row r="25" spans="1:17" x14ac:dyDescent="0.25">
      <c r="A25" s="4">
        <v>43818</v>
      </c>
      <c r="B25" t="s">
        <v>44</v>
      </c>
      <c r="C25" t="s">
        <v>18</v>
      </c>
      <c r="D25">
        <v>8</v>
      </c>
      <c r="E25">
        <v>0</v>
      </c>
    </row>
    <row r="26" spans="1:17" x14ac:dyDescent="0.25">
      <c r="A26" s="4">
        <v>43821</v>
      </c>
      <c r="B26" t="s">
        <v>44</v>
      </c>
      <c r="C26" t="s">
        <v>18</v>
      </c>
      <c r="D26">
        <v>4</v>
      </c>
      <c r="E26">
        <v>3</v>
      </c>
      <c r="F26">
        <v>2.2000000000000002</v>
      </c>
      <c r="G26">
        <v>3.4</v>
      </c>
      <c r="H26">
        <v>52</v>
      </c>
      <c r="I26" s="2">
        <v>16197</v>
      </c>
      <c r="Q26" s="1"/>
    </row>
    <row r="27" spans="1:17" s="48" customFormat="1" x14ac:dyDescent="0.25">
      <c r="A27" s="47">
        <v>43835</v>
      </c>
      <c r="B27" s="48" t="s">
        <v>43</v>
      </c>
      <c r="C27" s="48" t="s">
        <v>19</v>
      </c>
      <c r="D27" s="48">
        <v>1</v>
      </c>
      <c r="E27" s="48">
        <v>2</v>
      </c>
      <c r="F27" s="48">
        <v>0.9</v>
      </c>
      <c r="G27" s="48">
        <v>1.4</v>
      </c>
      <c r="H27" s="48">
        <v>63</v>
      </c>
      <c r="I27" s="49">
        <v>31538</v>
      </c>
    </row>
    <row r="28" spans="1:17" x14ac:dyDescent="0.25">
      <c r="A28" s="4">
        <v>43842</v>
      </c>
      <c r="B28" t="s">
        <v>44</v>
      </c>
      <c r="C28" t="s">
        <v>18</v>
      </c>
      <c r="D28">
        <v>4</v>
      </c>
      <c r="E28">
        <v>0</v>
      </c>
    </row>
    <row r="29" spans="1:17" x14ac:dyDescent="0.25">
      <c r="A29" s="4">
        <v>43849</v>
      </c>
      <c r="B29" t="s">
        <v>44</v>
      </c>
      <c r="C29" t="s">
        <v>19</v>
      </c>
      <c r="D29">
        <v>0</v>
      </c>
      <c r="E29">
        <v>3</v>
      </c>
      <c r="F29">
        <v>0.3</v>
      </c>
      <c r="G29">
        <v>1.8</v>
      </c>
      <c r="H29">
        <v>52</v>
      </c>
      <c r="I29" s="2">
        <v>51171</v>
      </c>
    </row>
    <row r="30" spans="1:17" s="48" customFormat="1" x14ac:dyDescent="0.25">
      <c r="A30" s="47">
        <v>43852</v>
      </c>
      <c r="B30" s="48" t="s">
        <v>43</v>
      </c>
      <c r="C30" s="48" t="s">
        <v>18</v>
      </c>
      <c r="D30" s="48">
        <v>2</v>
      </c>
      <c r="E30" s="48">
        <v>0</v>
      </c>
      <c r="H30" s="48">
        <v>62</v>
      </c>
      <c r="I30" s="49">
        <v>21647</v>
      </c>
      <c r="Q30" s="50"/>
    </row>
    <row r="31" spans="1:17" s="48" customFormat="1" x14ac:dyDescent="0.25">
      <c r="A31" s="47">
        <v>43856</v>
      </c>
      <c r="B31" s="48" t="s">
        <v>43</v>
      </c>
      <c r="C31" s="48" t="s">
        <v>18</v>
      </c>
      <c r="D31" s="48">
        <v>3</v>
      </c>
      <c r="E31" s="48">
        <v>0</v>
      </c>
      <c r="F31" s="48">
        <v>2.5</v>
      </c>
      <c r="G31" s="48">
        <v>0.5</v>
      </c>
      <c r="H31" s="48">
        <v>69</v>
      </c>
      <c r="I31" s="49">
        <v>29912</v>
      </c>
      <c r="Q31" s="50"/>
    </row>
    <row r="32" spans="1:17" s="48" customFormat="1" x14ac:dyDescent="0.25">
      <c r="A32" s="47">
        <v>43859</v>
      </c>
      <c r="B32" s="48" t="s">
        <v>43</v>
      </c>
      <c r="C32" s="48" t="s">
        <v>18</v>
      </c>
      <c r="D32" s="48">
        <v>3</v>
      </c>
      <c r="E32" s="48">
        <v>1</v>
      </c>
      <c r="H32" s="48">
        <v>60</v>
      </c>
      <c r="I32" s="49">
        <v>31236</v>
      </c>
      <c r="P32" s="50"/>
    </row>
    <row r="33" spans="1:17" x14ac:dyDescent="0.25">
      <c r="A33" s="4">
        <v>43863</v>
      </c>
      <c r="B33" t="s">
        <v>44</v>
      </c>
      <c r="C33" t="s">
        <v>19</v>
      </c>
      <c r="D33">
        <v>1</v>
      </c>
      <c r="E33">
        <v>2</v>
      </c>
      <c r="F33">
        <v>0.2</v>
      </c>
      <c r="G33">
        <v>1.2</v>
      </c>
      <c r="H33">
        <v>55</v>
      </c>
      <c r="I33" s="2">
        <v>10842</v>
      </c>
      <c r="Q33" s="1"/>
    </row>
    <row r="34" spans="1:17" x14ac:dyDescent="0.25">
      <c r="A34" s="4">
        <v>43867</v>
      </c>
      <c r="B34" t="s">
        <v>44</v>
      </c>
      <c r="C34" t="s">
        <v>18</v>
      </c>
      <c r="D34">
        <v>4</v>
      </c>
      <c r="E34">
        <v>3</v>
      </c>
      <c r="H34">
        <v>35</v>
      </c>
      <c r="I34" s="2">
        <v>64012</v>
      </c>
      <c r="Q34" s="1"/>
    </row>
    <row r="35" spans="1:17" s="48" customFormat="1" x14ac:dyDescent="0.25">
      <c r="A35" s="47">
        <v>43870</v>
      </c>
      <c r="B35" s="48" t="s">
        <v>43</v>
      </c>
      <c r="C35" s="48" t="s">
        <v>18</v>
      </c>
      <c r="D35" s="48">
        <v>2</v>
      </c>
      <c r="E35" s="48">
        <v>1</v>
      </c>
      <c r="F35" s="48">
        <v>2.2000000000000002</v>
      </c>
      <c r="G35" s="48">
        <v>0.8</v>
      </c>
      <c r="H35" s="48">
        <v>63</v>
      </c>
      <c r="I35" s="49">
        <v>36730</v>
      </c>
    </row>
    <row r="36" spans="1:17" s="48" customFormat="1" x14ac:dyDescent="0.25">
      <c r="A36" s="47">
        <v>43874</v>
      </c>
      <c r="B36" s="48" t="s">
        <v>43</v>
      </c>
      <c r="C36" s="48" t="s">
        <v>18</v>
      </c>
      <c r="D36" s="48">
        <v>2</v>
      </c>
      <c r="E36" s="48">
        <v>1</v>
      </c>
      <c r="H36" s="48">
        <v>61</v>
      </c>
      <c r="I36" s="49">
        <v>35194</v>
      </c>
    </row>
    <row r="37" spans="1:17" s="48" customFormat="1" x14ac:dyDescent="0.25">
      <c r="A37" s="47">
        <v>43883</v>
      </c>
      <c r="B37" s="48" t="s">
        <v>43</v>
      </c>
      <c r="C37" s="48" t="s">
        <v>18</v>
      </c>
      <c r="D37" s="48">
        <v>3</v>
      </c>
      <c r="E37" s="48">
        <v>0</v>
      </c>
      <c r="F37" s="48">
        <v>1.8</v>
      </c>
      <c r="G37" s="48">
        <v>0.3</v>
      </c>
      <c r="H37" s="48">
        <v>46</v>
      </c>
      <c r="I37" s="49">
        <v>31381</v>
      </c>
      <c r="P37" s="50"/>
    </row>
    <row r="38" spans="1:17" s="48" customFormat="1" x14ac:dyDescent="0.25">
      <c r="A38" s="47">
        <v>43889</v>
      </c>
      <c r="B38" s="48" t="s">
        <v>43</v>
      </c>
      <c r="C38" s="48" t="s">
        <v>18</v>
      </c>
      <c r="D38" s="48">
        <v>1</v>
      </c>
      <c r="E38" s="48">
        <v>0</v>
      </c>
      <c r="F38" s="48">
        <v>2</v>
      </c>
      <c r="G38" s="48">
        <v>0.8</v>
      </c>
      <c r="H38" s="48">
        <v>54</v>
      </c>
      <c r="I38" s="49">
        <v>30611</v>
      </c>
    </row>
    <row r="39" spans="1:17" x14ac:dyDescent="0.25">
      <c r="A39" s="4">
        <v>43894</v>
      </c>
      <c r="B39" t="s">
        <v>44</v>
      </c>
      <c r="C39" t="s">
        <v>18</v>
      </c>
      <c r="D39">
        <v>1</v>
      </c>
      <c r="E39">
        <v>0</v>
      </c>
      <c r="H39">
        <v>50</v>
      </c>
      <c r="I39" s="2">
        <v>5583</v>
      </c>
      <c r="P39" s="1"/>
      <c r="Q39" s="1"/>
    </row>
    <row r="40" spans="1:17" x14ac:dyDescent="0.25">
      <c r="A40" s="4">
        <v>43897</v>
      </c>
      <c r="B40" t="s">
        <v>44</v>
      </c>
      <c r="C40" t="s">
        <v>19</v>
      </c>
      <c r="D40">
        <v>0</v>
      </c>
      <c r="E40">
        <v>1</v>
      </c>
      <c r="F40">
        <v>0.5</v>
      </c>
      <c r="G40">
        <v>2.2000000000000002</v>
      </c>
      <c r="H40">
        <v>46</v>
      </c>
      <c r="I40" s="2">
        <v>77035</v>
      </c>
    </row>
    <row r="41" spans="1:17" x14ac:dyDescent="0.25">
      <c r="A41" s="4">
        <v>43900</v>
      </c>
      <c r="B41" t="s">
        <v>44</v>
      </c>
      <c r="C41" t="s">
        <v>18</v>
      </c>
      <c r="D41">
        <v>2</v>
      </c>
      <c r="E41">
        <v>1</v>
      </c>
      <c r="F41">
        <v>1.2</v>
      </c>
      <c r="G41">
        <v>2</v>
      </c>
      <c r="H41">
        <v>43</v>
      </c>
      <c r="I41" s="2">
        <v>16898</v>
      </c>
      <c r="Q41" s="1"/>
    </row>
    <row r="42" spans="1:17" s="48" customFormat="1" x14ac:dyDescent="0.25">
      <c r="A42" s="47">
        <v>43996</v>
      </c>
      <c r="B42" s="48" t="s">
        <v>43</v>
      </c>
      <c r="C42" s="48" t="s">
        <v>4</v>
      </c>
      <c r="D42" s="48">
        <v>1</v>
      </c>
      <c r="E42" s="48">
        <v>1</v>
      </c>
      <c r="F42" s="48">
        <v>1</v>
      </c>
      <c r="G42" s="48">
        <v>1.1000000000000001</v>
      </c>
      <c r="H42" s="48">
        <v>65</v>
      </c>
      <c r="I42" s="49">
        <v>27684</v>
      </c>
    </row>
    <row r="43" spans="1:17" x14ac:dyDescent="0.25">
      <c r="A43" s="4">
        <v>44000</v>
      </c>
      <c r="B43" t="s">
        <v>44</v>
      </c>
      <c r="C43" t="s">
        <v>19</v>
      </c>
      <c r="D43">
        <v>0</v>
      </c>
      <c r="E43">
        <v>2</v>
      </c>
      <c r="F43">
        <v>0.5</v>
      </c>
      <c r="G43">
        <v>1.5</v>
      </c>
      <c r="H43">
        <v>65</v>
      </c>
      <c r="I43" s="2">
        <v>18002</v>
      </c>
      <c r="Q43" s="1"/>
    </row>
    <row r="44" spans="1:17" s="48" customFormat="1" x14ac:dyDescent="0.25">
      <c r="A44" s="47">
        <v>44003</v>
      </c>
      <c r="B44" s="48" t="s">
        <v>43</v>
      </c>
      <c r="C44" s="48" t="s">
        <v>19</v>
      </c>
      <c r="D44" s="48">
        <v>1</v>
      </c>
      <c r="E44" s="48">
        <v>2</v>
      </c>
      <c r="F44" s="48">
        <v>0.4</v>
      </c>
      <c r="G44" s="48">
        <v>1.3</v>
      </c>
      <c r="H44" s="48">
        <v>51</v>
      </c>
      <c r="I44" s="49">
        <v>28142</v>
      </c>
    </row>
    <row r="45" spans="1:17" s="48" customFormat="1" x14ac:dyDescent="0.25">
      <c r="A45" s="47">
        <v>44006</v>
      </c>
      <c r="B45" s="48" t="s">
        <v>43</v>
      </c>
      <c r="C45" s="48" t="s">
        <v>19</v>
      </c>
      <c r="D45" s="48">
        <v>0</v>
      </c>
      <c r="E45" s="48">
        <v>1</v>
      </c>
      <c r="F45" s="48">
        <v>0.8</v>
      </c>
      <c r="G45" s="48">
        <v>0.9</v>
      </c>
      <c r="H45" s="48">
        <v>59</v>
      </c>
      <c r="I45" s="49">
        <v>21647</v>
      </c>
      <c r="Q45" s="50"/>
    </row>
    <row r="46" spans="1:17" x14ac:dyDescent="0.25">
      <c r="A46" s="4">
        <v>44011</v>
      </c>
      <c r="B46" t="s">
        <v>44</v>
      </c>
      <c r="C46" t="s">
        <v>19</v>
      </c>
      <c r="D46">
        <v>1</v>
      </c>
      <c r="E46">
        <v>2</v>
      </c>
      <c r="F46">
        <v>0.8</v>
      </c>
      <c r="G46">
        <v>1.4</v>
      </c>
      <c r="H46">
        <v>60</v>
      </c>
      <c r="I46" s="49">
        <v>29912</v>
      </c>
      <c r="Q46" s="1"/>
    </row>
    <row r="47" spans="1:17" s="48" customFormat="1" x14ac:dyDescent="0.25">
      <c r="A47" s="47">
        <v>44014</v>
      </c>
      <c r="B47" s="48" t="s">
        <v>43</v>
      </c>
      <c r="C47" s="48" t="s">
        <v>18</v>
      </c>
      <c r="D47" s="48">
        <v>2</v>
      </c>
      <c r="E47" s="48">
        <v>1</v>
      </c>
      <c r="F47" s="48">
        <v>1.5</v>
      </c>
      <c r="G47" s="48">
        <v>0.2</v>
      </c>
      <c r="H47" s="48">
        <v>63</v>
      </c>
      <c r="I47" s="49">
        <v>31236</v>
      </c>
      <c r="P47" s="50"/>
      <c r="Q47" s="50"/>
    </row>
    <row r="48" spans="1:17" x14ac:dyDescent="0.25">
      <c r="A48" s="4">
        <v>44018</v>
      </c>
      <c r="B48" t="s">
        <v>44</v>
      </c>
      <c r="C48" t="s">
        <v>4</v>
      </c>
      <c r="D48">
        <v>1</v>
      </c>
      <c r="E48">
        <v>1</v>
      </c>
      <c r="F48">
        <v>0.8</v>
      </c>
      <c r="G48">
        <v>1.1000000000000001</v>
      </c>
      <c r="H48">
        <v>55</v>
      </c>
      <c r="I48" s="2">
        <v>10842</v>
      </c>
    </row>
    <row r="49" spans="1:17" s="48" customFormat="1" x14ac:dyDescent="0.25">
      <c r="A49" s="47">
        <v>44022</v>
      </c>
      <c r="B49" s="48" t="s">
        <v>43</v>
      </c>
      <c r="C49" s="48" t="s">
        <v>19</v>
      </c>
      <c r="D49" s="48">
        <v>2</v>
      </c>
      <c r="E49" s="48">
        <v>3</v>
      </c>
      <c r="F49" s="48">
        <v>1.5</v>
      </c>
      <c r="G49" s="48">
        <v>0.6</v>
      </c>
      <c r="H49" s="48">
        <v>67</v>
      </c>
      <c r="I49" s="2">
        <v>64012</v>
      </c>
      <c r="Q49" s="50"/>
    </row>
    <row r="50" spans="1:17" x14ac:dyDescent="0.25">
      <c r="A50" s="4">
        <v>44025</v>
      </c>
      <c r="B50" t="s">
        <v>44</v>
      </c>
      <c r="C50" t="s">
        <v>18</v>
      </c>
      <c r="D50">
        <v>2</v>
      </c>
      <c r="E50">
        <v>1</v>
      </c>
      <c r="F50">
        <v>1.3</v>
      </c>
      <c r="G50">
        <v>0.4</v>
      </c>
      <c r="H50">
        <v>48</v>
      </c>
      <c r="I50" s="49">
        <v>36730</v>
      </c>
      <c r="Q50" s="1"/>
    </row>
    <row r="51" spans="1:17" s="48" customFormat="1" x14ac:dyDescent="0.25">
      <c r="A51" s="47">
        <v>44028</v>
      </c>
      <c r="B51" s="48" t="s">
        <v>43</v>
      </c>
      <c r="C51" s="48" t="s">
        <v>4</v>
      </c>
      <c r="D51" s="48">
        <v>0</v>
      </c>
      <c r="E51" s="48">
        <v>0</v>
      </c>
      <c r="F51" s="48">
        <v>0.8</v>
      </c>
      <c r="G51" s="48">
        <v>0.7</v>
      </c>
      <c r="H51" s="48">
        <v>38</v>
      </c>
      <c r="I51" s="49">
        <v>35194</v>
      </c>
    </row>
    <row r="52" spans="1:17" x14ac:dyDescent="0.25">
      <c r="A52" s="4">
        <v>44031</v>
      </c>
      <c r="B52" t="s">
        <v>44</v>
      </c>
      <c r="C52" t="s">
        <v>4</v>
      </c>
      <c r="D52">
        <v>1</v>
      </c>
      <c r="E52">
        <v>1</v>
      </c>
      <c r="F52">
        <v>0.4</v>
      </c>
      <c r="G52">
        <v>1.6</v>
      </c>
      <c r="H52">
        <v>56</v>
      </c>
      <c r="I52" s="49">
        <v>31381</v>
      </c>
      <c r="P52" s="1"/>
    </row>
    <row r="53" spans="1:17" x14ac:dyDescent="0.25">
      <c r="A53" s="4">
        <v>44289</v>
      </c>
      <c r="B53" t="s">
        <v>44</v>
      </c>
      <c r="C53" t="s">
        <v>18</v>
      </c>
      <c r="D53">
        <v>1</v>
      </c>
      <c r="E53">
        <v>0</v>
      </c>
      <c r="H53">
        <v>57</v>
      </c>
      <c r="P53" s="1"/>
      <c r="Q53" s="1"/>
    </row>
    <row r="54" spans="1:17" x14ac:dyDescent="0.25">
      <c r="P54" s="1"/>
      <c r="Q54" s="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4C55-C899-41C4-84F1-1049F7156D23}">
  <dimension ref="A1:Q59"/>
  <sheetViews>
    <sheetView topLeftCell="A26" workbookViewId="0">
      <selection activeCell="A8" sqref="A8:I56"/>
    </sheetView>
  </sheetViews>
  <sheetFormatPr defaultRowHeight="15" x14ac:dyDescent="0.25"/>
  <cols>
    <col min="1" max="1" width="13.28515625" style="4" customWidth="1"/>
  </cols>
  <sheetData>
    <row r="1" spans="1:17" x14ac:dyDescent="0.25">
      <c r="A1" s="4" t="s">
        <v>541</v>
      </c>
    </row>
    <row r="2" spans="1:17" x14ac:dyDescent="0.25">
      <c r="A2" s="4" t="s">
        <v>542</v>
      </c>
    </row>
    <row r="3" spans="1:17" x14ac:dyDescent="0.25">
      <c r="A3" s="4" t="s">
        <v>543</v>
      </c>
    </row>
    <row r="4" spans="1:17" x14ac:dyDescent="0.25">
      <c r="A4" s="4" t="s">
        <v>544</v>
      </c>
    </row>
    <row r="7" spans="1:17" x14ac:dyDescent="0.25">
      <c r="A7" s="4" t="s">
        <v>0</v>
      </c>
      <c r="B7" t="s">
        <v>53</v>
      </c>
      <c r="C7" t="s">
        <v>54</v>
      </c>
      <c r="D7" t="s">
        <v>20</v>
      </c>
      <c r="E7" t="s">
        <v>21</v>
      </c>
      <c r="F7" t="s">
        <v>55</v>
      </c>
      <c r="G7" t="s">
        <v>56</v>
      </c>
      <c r="H7" t="s">
        <v>57</v>
      </c>
      <c r="I7" t="s">
        <v>24</v>
      </c>
    </row>
    <row r="8" spans="1:17" x14ac:dyDescent="0.25">
      <c r="A8" s="4">
        <v>44087</v>
      </c>
      <c r="B8" t="s">
        <v>44</v>
      </c>
      <c r="C8" t="s">
        <v>4</v>
      </c>
      <c r="D8">
        <v>1</v>
      </c>
      <c r="E8">
        <v>1</v>
      </c>
      <c r="F8">
        <v>0.3</v>
      </c>
      <c r="G8">
        <v>0.8</v>
      </c>
      <c r="H8">
        <v>60</v>
      </c>
      <c r="I8" s="2">
        <v>41846</v>
      </c>
    </row>
    <row r="9" spans="1:17" x14ac:dyDescent="0.25">
      <c r="A9" s="4">
        <v>44094</v>
      </c>
      <c r="B9" t="s">
        <v>43</v>
      </c>
      <c r="C9" t="s">
        <v>4</v>
      </c>
      <c r="D9">
        <v>0</v>
      </c>
      <c r="E9">
        <v>0</v>
      </c>
      <c r="F9">
        <v>0.6</v>
      </c>
      <c r="G9">
        <v>0.9</v>
      </c>
      <c r="H9">
        <v>32</v>
      </c>
      <c r="I9" s="2">
        <v>18028</v>
      </c>
      <c r="P9" s="1"/>
    </row>
    <row r="10" spans="1:17" x14ac:dyDescent="0.25">
      <c r="A10" s="4">
        <v>44100</v>
      </c>
      <c r="B10" t="s">
        <v>44</v>
      </c>
      <c r="C10" t="s">
        <v>18</v>
      </c>
      <c r="D10">
        <v>3</v>
      </c>
      <c r="E10">
        <v>0</v>
      </c>
      <c r="F10">
        <v>3.1</v>
      </c>
      <c r="G10">
        <v>1</v>
      </c>
      <c r="H10">
        <v>60</v>
      </c>
      <c r="I10" s="2">
        <v>46697</v>
      </c>
      <c r="Q10" s="1"/>
    </row>
    <row r="11" spans="1:17" x14ac:dyDescent="0.25">
      <c r="A11" s="4">
        <v>44103</v>
      </c>
      <c r="B11" t="s">
        <v>43</v>
      </c>
      <c r="C11" t="s">
        <v>19</v>
      </c>
      <c r="D11">
        <v>0</v>
      </c>
      <c r="E11">
        <v>1</v>
      </c>
      <c r="F11">
        <v>0.5</v>
      </c>
      <c r="G11">
        <v>0.9</v>
      </c>
      <c r="H11">
        <v>65</v>
      </c>
      <c r="I11" s="49">
        <v>34719</v>
      </c>
      <c r="Q11" s="1"/>
    </row>
    <row r="12" spans="1:17" x14ac:dyDescent="0.25">
      <c r="A12" s="4">
        <v>44107</v>
      </c>
      <c r="B12" t="s">
        <v>43</v>
      </c>
      <c r="C12" t="s">
        <v>18</v>
      </c>
      <c r="D12">
        <v>3</v>
      </c>
      <c r="E12">
        <v>0</v>
      </c>
      <c r="F12">
        <v>2.2000000000000002</v>
      </c>
      <c r="G12">
        <v>0.3</v>
      </c>
      <c r="H12">
        <v>54</v>
      </c>
      <c r="I12" s="2">
        <v>19173</v>
      </c>
      <c r="Q12" s="1"/>
    </row>
    <row r="13" spans="1:17" x14ac:dyDescent="0.25">
      <c r="A13" s="4">
        <v>44122</v>
      </c>
      <c r="B13" t="s">
        <v>44</v>
      </c>
      <c r="C13" t="s">
        <v>18</v>
      </c>
      <c r="D13">
        <v>3</v>
      </c>
      <c r="E13">
        <v>0</v>
      </c>
      <c r="F13">
        <v>1.7</v>
      </c>
      <c r="G13">
        <v>0.4</v>
      </c>
      <c r="H13">
        <v>45</v>
      </c>
      <c r="I13" s="49">
        <v>28720</v>
      </c>
    </row>
    <row r="14" spans="1:17" x14ac:dyDescent="0.25">
      <c r="A14" s="4">
        <v>44126</v>
      </c>
      <c r="B14" t="s">
        <v>44</v>
      </c>
      <c r="C14" t="s">
        <v>18</v>
      </c>
      <c r="D14">
        <v>1</v>
      </c>
      <c r="E14">
        <v>0</v>
      </c>
      <c r="F14">
        <v>2.1</v>
      </c>
      <c r="G14">
        <v>0.7</v>
      </c>
      <c r="H14">
        <v>66</v>
      </c>
      <c r="I14" s="2">
        <v>37414</v>
      </c>
      <c r="P14" s="1"/>
      <c r="Q14" s="1"/>
    </row>
    <row r="15" spans="1:17" x14ac:dyDescent="0.25">
      <c r="A15" s="4">
        <v>44129</v>
      </c>
      <c r="B15" t="s">
        <v>43</v>
      </c>
      <c r="C15" t="s">
        <v>18</v>
      </c>
      <c r="D15">
        <v>4</v>
      </c>
      <c r="E15">
        <v>1</v>
      </c>
      <c r="F15">
        <v>2.5</v>
      </c>
      <c r="G15">
        <v>0.5</v>
      </c>
      <c r="H15">
        <v>51</v>
      </c>
      <c r="I15" s="49">
        <v>30153</v>
      </c>
      <c r="Q15" s="1"/>
    </row>
    <row r="16" spans="1:17" x14ac:dyDescent="0.25">
      <c r="A16" s="4">
        <v>44133</v>
      </c>
      <c r="B16" t="s">
        <v>43</v>
      </c>
      <c r="C16" t="s">
        <v>19</v>
      </c>
      <c r="D16">
        <v>0</v>
      </c>
      <c r="E16">
        <v>1</v>
      </c>
      <c r="F16">
        <v>1.4</v>
      </c>
      <c r="G16">
        <v>1.1000000000000001</v>
      </c>
      <c r="H16">
        <v>66</v>
      </c>
      <c r="I16" s="2">
        <v>28032</v>
      </c>
      <c r="P16" s="1"/>
    </row>
    <row r="17" spans="1:17" x14ac:dyDescent="0.25">
      <c r="A17" s="4">
        <v>44136</v>
      </c>
      <c r="B17" t="s">
        <v>44</v>
      </c>
      <c r="C17" t="s">
        <v>18</v>
      </c>
      <c r="D17">
        <v>4</v>
      </c>
      <c r="E17">
        <v>1</v>
      </c>
      <c r="F17">
        <v>2</v>
      </c>
      <c r="G17">
        <v>1.6</v>
      </c>
      <c r="H17">
        <v>54</v>
      </c>
      <c r="I17" s="2">
        <v>18002</v>
      </c>
      <c r="Q17" s="1"/>
    </row>
    <row r="18" spans="1:17" x14ac:dyDescent="0.25">
      <c r="A18" s="4">
        <v>44140</v>
      </c>
      <c r="B18" t="s">
        <v>43</v>
      </c>
      <c r="C18" t="s">
        <v>18</v>
      </c>
      <c r="D18">
        <v>1</v>
      </c>
      <c r="E18">
        <v>0</v>
      </c>
      <c r="F18">
        <v>4.5</v>
      </c>
      <c r="G18">
        <v>0.2</v>
      </c>
      <c r="H18">
        <v>66</v>
      </c>
      <c r="I18" s="49">
        <v>28142</v>
      </c>
    </row>
    <row r="19" spans="1:17" x14ac:dyDescent="0.25">
      <c r="A19" s="4">
        <v>44143</v>
      </c>
      <c r="B19" t="s">
        <v>43</v>
      </c>
      <c r="C19" t="s">
        <v>18</v>
      </c>
      <c r="D19">
        <v>2</v>
      </c>
      <c r="E19">
        <v>0</v>
      </c>
      <c r="F19">
        <v>3.4</v>
      </c>
      <c r="G19">
        <v>0.8</v>
      </c>
      <c r="H19">
        <v>72</v>
      </c>
      <c r="I19" s="2">
        <v>16898</v>
      </c>
    </row>
    <row r="20" spans="1:17" x14ac:dyDescent="0.25">
      <c r="A20" s="4">
        <v>44157</v>
      </c>
      <c r="B20" t="s">
        <v>44</v>
      </c>
      <c r="C20" t="s">
        <v>18</v>
      </c>
      <c r="D20">
        <v>1</v>
      </c>
      <c r="E20">
        <v>0</v>
      </c>
      <c r="F20">
        <v>1.2</v>
      </c>
      <c r="G20">
        <v>0.1</v>
      </c>
      <c r="H20">
        <v>67</v>
      </c>
      <c r="I20" s="49">
        <v>27684</v>
      </c>
      <c r="Q20" s="1"/>
    </row>
    <row r="21" spans="1:17" x14ac:dyDescent="0.25">
      <c r="A21" s="4">
        <v>44161</v>
      </c>
      <c r="B21" t="s">
        <v>44</v>
      </c>
      <c r="C21" t="s">
        <v>4</v>
      </c>
      <c r="D21">
        <v>0</v>
      </c>
      <c r="E21">
        <v>0</v>
      </c>
      <c r="F21">
        <v>0.9</v>
      </c>
      <c r="G21">
        <v>1</v>
      </c>
      <c r="H21">
        <v>57</v>
      </c>
      <c r="I21" s="2">
        <v>69305</v>
      </c>
      <c r="Q21" s="1"/>
    </row>
    <row r="22" spans="1:17" x14ac:dyDescent="0.25">
      <c r="A22" s="4">
        <v>44164</v>
      </c>
      <c r="B22" t="s">
        <v>43</v>
      </c>
      <c r="C22" t="s">
        <v>4</v>
      </c>
      <c r="D22">
        <v>1</v>
      </c>
      <c r="E22">
        <v>1</v>
      </c>
      <c r="F22">
        <v>1.7</v>
      </c>
      <c r="G22">
        <v>1.2</v>
      </c>
      <c r="H22">
        <v>55</v>
      </c>
      <c r="I22" s="49">
        <v>28612</v>
      </c>
      <c r="Q22" s="1"/>
    </row>
    <row r="23" spans="1:17" x14ac:dyDescent="0.25">
      <c r="A23" s="4">
        <v>44168</v>
      </c>
      <c r="B23" t="s">
        <v>43</v>
      </c>
      <c r="C23" t="s">
        <v>4</v>
      </c>
      <c r="D23">
        <v>2</v>
      </c>
      <c r="E23">
        <v>2</v>
      </c>
      <c r="F23">
        <v>2.8</v>
      </c>
      <c r="G23">
        <v>1.3</v>
      </c>
      <c r="H23">
        <v>76</v>
      </c>
      <c r="I23" s="2">
        <v>18654</v>
      </c>
      <c r="Q23" s="1"/>
    </row>
    <row r="24" spans="1:17" x14ac:dyDescent="0.25">
      <c r="A24" s="4">
        <v>44171</v>
      </c>
      <c r="B24" t="s">
        <v>44</v>
      </c>
      <c r="C24" t="s">
        <v>4</v>
      </c>
      <c r="D24">
        <v>0</v>
      </c>
      <c r="E24">
        <v>0</v>
      </c>
      <c r="F24">
        <v>1.4</v>
      </c>
      <c r="G24">
        <v>0.3</v>
      </c>
      <c r="H24">
        <v>68</v>
      </c>
      <c r="I24" s="49">
        <v>36639</v>
      </c>
      <c r="Q24" s="1"/>
    </row>
    <row r="25" spans="1:17" x14ac:dyDescent="0.25">
      <c r="A25" s="4">
        <v>44175</v>
      </c>
      <c r="B25" t="s">
        <v>44</v>
      </c>
      <c r="C25" t="s">
        <v>4</v>
      </c>
      <c r="D25">
        <v>1</v>
      </c>
      <c r="E25">
        <v>1</v>
      </c>
      <c r="F25">
        <v>2.4</v>
      </c>
      <c r="G25">
        <v>0.6</v>
      </c>
      <c r="H25">
        <v>58</v>
      </c>
      <c r="P25" s="1"/>
    </row>
    <row r="26" spans="1:17" x14ac:dyDescent="0.25">
      <c r="A26" s="4">
        <v>44178</v>
      </c>
      <c r="B26" t="s">
        <v>43</v>
      </c>
      <c r="C26" t="s">
        <v>4</v>
      </c>
      <c r="D26">
        <v>1</v>
      </c>
      <c r="E26">
        <v>1</v>
      </c>
      <c r="F26">
        <v>1.2</v>
      </c>
      <c r="G26">
        <v>1.7</v>
      </c>
      <c r="H26">
        <v>49</v>
      </c>
      <c r="I26" s="2">
        <v>16197</v>
      </c>
      <c r="Q26" s="1"/>
    </row>
    <row r="27" spans="1:17" x14ac:dyDescent="0.25">
      <c r="A27" s="4">
        <v>44181</v>
      </c>
      <c r="B27" t="s">
        <v>44</v>
      </c>
      <c r="C27" t="s">
        <v>19</v>
      </c>
      <c r="D27">
        <v>1</v>
      </c>
      <c r="E27">
        <v>2</v>
      </c>
      <c r="F27">
        <v>1.8</v>
      </c>
      <c r="G27">
        <v>2.5</v>
      </c>
      <c r="H27">
        <v>47</v>
      </c>
      <c r="I27" s="49">
        <v>31538</v>
      </c>
      <c r="P27" s="1"/>
    </row>
    <row r="28" spans="1:17" x14ac:dyDescent="0.25">
      <c r="A28" s="4">
        <v>44184</v>
      </c>
      <c r="B28" t="s">
        <v>44</v>
      </c>
      <c r="C28" t="s">
        <v>19</v>
      </c>
      <c r="D28">
        <v>1</v>
      </c>
      <c r="E28">
        <v>2</v>
      </c>
      <c r="F28">
        <v>1.8</v>
      </c>
      <c r="G28">
        <v>1.8</v>
      </c>
      <c r="H28">
        <v>55</v>
      </c>
      <c r="P28" s="1"/>
      <c r="Q28" s="1"/>
    </row>
    <row r="29" spans="1:17" x14ac:dyDescent="0.25">
      <c r="A29" s="4">
        <v>44187</v>
      </c>
      <c r="B29" t="s">
        <v>43</v>
      </c>
      <c r="C29" t="s">
        <v>19</v>
      </c>
      <c r="D29">
        <v>0</v>
      </c>
      <c r="E29">
        <v>2</v>
      </c>
      <c r="F29">
        <v>0.3</v>
      </c>
      <c r="G29">
        <v>0.5</v>
      </c>
      <c r="H29">
        <v>60</v>
      </c>
      <c r="I29" s="2">
        <v>51171</v>
      </c>
      <c r="Q29" s="1"/>
    </row>
    <row r="30" spans="1:17" x14ac:dyDescent="0.25">
      <c r="A30" s="4">
        <v>44196</v>
      </c>
      <c r="B30" t="s">
        <v>44</v>
      </c>
      <c r="C30" t="s">
        <v>18</v>
      </c>
      <c r="D30">
        <v>1</v>
      </c>
      <c r="E30">
        <v>0</v>
      </c>
      <c r="F30">
        <v>1.6</v>
      </c>
      <c r="G30">
        <v>0.2</v>
      </c>
      <c r="H30">
        <v>40</v>
      </c>
      <c r="I30" s="49">
        <v>21647</v>
      </c>
    </row>
    <row r="31" spans="1:17" x14ac:dyDescent="0.25">
      <c r="A31" s="4">
        <v>44199</v>
      </c>
      <c r="B31" t="s">
        <v>43</v>
      </c>
      <c r="C31" t="s">
        <v>4</v>
      </c>
      <c r="D31">
        <v>1</v>
      </c>
      <c r="E31">
        <v>1</v>
      </c>
      <c r="F31">
        <v>0.8</v>
      </c>
      <c r="G31">
        <v>0.8</v>
      </c>
      <c r="H31">
        <v>62</v>
      </c>
      <c r="I31" s="49">
        <v>29912</v>
      </c>
      <c r="P31" s="1"/>
    </row>
    <row r="32" spans="1:17" x14ac:dyDescent="0.25">
      <c r="A32" s="4">
        <v>44205</v>
      </c>
      <c r="B32" t="s">
        <v>44</v>
      </c>
      <c r="C32" t="s">
        <v>19</v>
      </c>
      <c r="D32">
        <v>2</v>
      </c>
      <c r="E32">
        <v>3</v>
      </c>
      <c r="F32">
        <v>0.8</v>
      </c>
      <c r="G32">
        <v>2.6</v>
      </c>
      <c r="H32">
        <v>40</v>
      </c>
      <c r="I32" s="49">
        <v>31236</v>
      </c>
      <c r="P32" s="1"/>
      <c r="Q32" s="1"/>
    </row>
    <row r="33" spans="1:17" x14ac:dyDescent="0.25">
      <c r="A33" s="4">
        <v>44209</v>
      </c>
      <c r="B33" t="s">
        <v>43</v>
      </c>
      <c r="C33" t="s">
        <v>4</v>
      </c>
      <c r="D33" t="s">
        <v>436</v>
      </c>
      <c r="E33" t="s">
        <v>164</v>
      </c>
      <c r="H33">
        <v>37</v>
      </c>
      <c r="I33" s="2">
        <v>10842</v>
      </c>
      <c r="P33" s="1"/>
    </row>
    <row r="34" spans="1:17" x14ac:dyDescent="0.25">
      <c r="A34" s="4">
        <v>44216</v>
      </c>
      <c r="B34" t="s">
        <v>44</v>
      </c>
      <c r="C34" t="s">
        <v>18</v>
      </c>
      <c r="D34">
        <v>2</v>
      </c>
      <c r="E34">
        <v>0</v>
      </c>
      <c r="H34">
        <v>61</v>
      </c>
      <c r="I34" s="2">
        <v>64012</v>
      </c>
      <c r="P34" s="1"/>
    </row>
    <row r="35" spans="1:17" x14ac:dyDescent="0.25">
      <c r="A35" s="4">
        <v>44219</v>
      </c>
      <c r="B35" t="s">
        <v>43</v>
      </c>
      <c r="C35" t="s">
        <v>4</v>
      </c>
      <c r="D35">
        <v>2</v>
      </c>
      <c r="E35">
        <v>2</v>
      </c>
      <c r="F35">
        <v>2.2000000000000002</v>
      </c>
      <c r="G35">
        <v>0.6</v>
      </c>
      <c r="H35">
        <v>54</v>
      </c>
      <c r="I35" s="49">
        <v>36730</v>
      </c>
      <c r="P35" s="1"/>
    </row>
    <row r="36" spans="1:17" x14ac:dyDescent="0.25">
      <c r="A36" s="4">
        <v>44222</v>
      </c>
      <c r="B36" t="s">
        <v>44</v>
      </c>
      <c r="C36" t="s">
        <v>19</v>
      </c>
      <c r="D36">
        <v>1</v>
      </c>
      <c r="E36">
        <v>3</v>
      </c>
      <c r="H36">
        <v>41</v>
      </c>
      <c r="I36" s="49">
        <v>35194</v>
      </c>
      <c r="P36" s="1"/>
    </row>
    <row r="37" spans="1:17" x14ac:dyDescent="0.25">
      <c r="A37" s="4">
        <v>44226</v>
      </c>
      <c r="B37" t="s">
        <v>44</v>
      </c>
      <c r="C37" t="s">
        <v>4</v>
      </c>
      <c r="D37">
        <v>1</v>
      </c>
      <c r="E37">
        <v>1</v>
      </c>
      <c r="F37">
        <v>1.3</v>
      </c>
      <c r="G37">
        <v>0.2</v>
      </c>
      <c r="H37">
        <v>65</v>
      </c>
      <c r="I37" s="49">
        <v>31381</v>
      </c>
      <c r="P37" s="1"/>
      <c r="Q37" s="1"/>
    </row>
    <row r="38" spans="1:17" x14ac:dyDescent="0.25">
      <c r="A38" s="4">
        <v>44234</v>
      </c>
      <c r="B38" t="s">
        <v>43</v>
      </c>
      <c r="C38" t="s">
        <v>18</v>
      </c>
      <c r="D38">
        <v>4</v>
      </c>
      <c r="E38">
        <v>1</v>
      </c>
      <c r="F38">
        <v>4.5999999999999996</v>
      </c>
      <c r="G38">
        <v>0.5</v>
      </c>
      <c r="H38">
        <v>74</v>
      </c>
      <c r="I38" s="2">
        <v>5583</v>
      </c>
    </row>
    <row r="39" spans="1:17" x14ac:dyDescent="0.25">
      <c r="A39" s="4">
        <v>44241</v>
      </c>
      <c r="B39" t="s">
        <v>44</v>
      </c>
      <c r="C39" t="s">
        <v>18</v>
      </c>
      <c r="D39">
        <v>1</v>
      </c>
      <c r="E39">
        <v>0</v>
      </c>
      <c r="F39">
        <v>1</v>
      </c>
      <c r="G39">
        <v>0.4</v>
      </c>
      <c r="H39">
        <v>56</v>
      </c>
      <c r="I39" s="2">
        <v>77035</v>
      </c>
      <c r="P39" s="1"/>
      <c r="Q39" s="1"/>
    </row>
    <row r="40" spans="1:17" x14ac:dyDescent="0.25">
      <c r="A40" s="4">
        <v>44245</v>
      </c>
      <c r="B40" t="s">
        <v>186</v>
      </c>
      <c r="C40" t="s">
        <v>19</v>
      </c>
      <c r="D40">
        <v>0</v>
      </c>
      <c r="E40">
        <v>4</v>
      </c>
      <c r="F40">
        <v>0.7</v>
      </c>
      <c r="G40">
        <v>3</v>
      </c>
      <c r="H40">
        <v>59</v>
      </c>
      <c r="I40" s="2">
        <v>16898</v>
      </c>
      <c r="Q40" s="1"/>
    </row>
    <row r="41" spans="1:17" x14ac:dyDescent="0.25">
      <c r="A41" s="4">
        <v>44248</v>
      </c>
      <c r="B41" t="s">
        <v>43</v>
      </c>
      <c r="C41" t="s">
        <v>18</v>
      </c>
      <c r="D41">
        <v>4</v>
      </c>
      <c r="E41">
        <v>0</v>
      </c>
      <c r="F41">
        <v>2.4</v>
      </c>
      <c r="G41">
        <v>0.8</v>
      </c>
      <c r="H41">
        <v>64</v>
      </c>
      <c r="I41" s="49">
        <v>27684</v>
      </c>
      <c r="P41" s="1"/>
    </row>
    <row r="42" spans="1:17" x14ac:dyDescent="0.25">
      <c r="A42" s="4">
        <v>44252</v>
      </c>
      <c r="B42" t="s">
        <v>44</v>
      </c>
      <c r="C42" t="s">
        <v>4</v>
      </c>
      <c r="D42">
        <v>0</v>
      </c>
      <c r="E42">
        <v>0</v>
      </c>
      <c r="F42">
        <v>1.4</v>
      </c>
      <c r="G42">
        <v>0.6</v>
      </c>
      <c r="H42">
        <v>43</v>
      </c>
      <c r="I42" s="2">
        <v>18002</v>
      </c>
      <c r="P42" s="1"/>
      <c r="Q42" s="1"/>
    </row>
    <row r="43" spans="1:17" x14ac:dyDescent="0.25">
      <c r="A43" s="4">
        <v>44256</v>
      </c>
      <c r="B43" t="s">
        <v>44</v>
      </c>
      <c r="C43" t="s">
        <v>4</v>
      </c>
      <c r="D43">
        <v>1</v>
      </c>
      <c r="E43">
        <v>1</v>
      </c>
      <c r="F43">
        <v>0.8</v>
      </c>
      <c r="G43">
        <v>2.2000000000000002</v>
      </c>
      <c r="H43">
        <v>41</v>
      </c>
      <c r="I43" s="49">
        <v>28142</v>
      </c>
      <c r="P43" s="1"/>
    </row>
    <row r="44" spans="1:17" x14ac:dyDescent="0.25">
      <c r="A44" s="4">
        <v>44262</v>
      </c>
      <c r="B44" t="s">
        <v>43</v>
      </c>
      <c r="C44" t="s">
        <v>18</v>
      </c>
      <c r="D44">
        <v>1</v>
      </c>
      <c r="E44">
        <v>0</v>
      </c>
      <c r="F44">
        <v>4.7</v>
      </c>
      <c r="G44">
        <v>0.2</v>
      </c>
      <c r="H44">
        <v>54</v>
      </c>
      <c r="I44" s="49">
        <v>21647</v>
      </c>
      <c r="Q44" s="1"/>
    </row>
    <row r="45" spans="1:17" x14ac:dyDescent="0.25">
      <c r="A45" s="4">
        <v>44269</v>
      </c>
      <c r="B45" t="s">
        <v>44</v>
      </c>
      <c r="C45" t="s">
        <v>19</v>
      </c>
      <c r="D45">
        <v>0</v>
      </c>
      <c r="E45">
        <v>1</v>
      </c>
      <c r="F45">
        <v>0.4</v>
      </c>
      <c r="G45">
        <v>0.4</v>
      </c>
      <c r="H45">
        <v>67</v>
      </c>
      <c r="I45" s="49">
        <v>29912</v>
      </c>
      <c r="P45" s="1"/>
      <c r="Q45" s="1"/>
    </row>
    <row r="46" spans="1:17" x14ac:dyDescent="0.25">
      <c r="A46" s="4">
        <v>44276</v>
      </c>
      <c r="B46" t="s">
        <v>43</v>
      </c>
      <c r="C46" t="s">
        <v>19</v>
      </c>
      <c r="D46">
        <v>1</v>
      </c>
      <c r="E46">
        <v>6</v>
      </c>
      <c r="F46">
        <v>0.9</v>
      </c>
      <c r="G46">
        <v>2.8</v>
      </c>
      <c r="H46">
        <v>31</v>
      </c>
      <c r="I46" s="49">
        <v>31236</v>
      </c>
      <c r="P46" s="1"/>
    </row>
    <row r="47" spans="1:17" x14ac:dyDescent="0.25">
      <c r="A47" s="4">
        <v>44293</v>
      </c>
      <c r="B47" t="s">
        <v>43</v>
      </c>
      <c r="C47" t="s">
        <v>4</v>
      </c>
      <c r="D47">
        <v>1</v>
      </c>
      <c r="E47">
        <v>1</v>
      </c>
      <c r="F47">
        <v>0.9</v>
      </c>
      <c r="G47">
        <v>0.7</v>
      </c>
      <c r="H47">
        <v>51</v>
      </c>
      <c r="I47" s="2">
        <v>10842</v>
      </c>
      <c r="P47" s="1"/>
      <c r="Q47" s="1"/>
    </row>
    <row r="48" spans="1:17" x14ac:dyDescent="0.25">
      <c r="A48" s="4">
        <v>44297</v>
      </c>
      <c r="B48" t="s">
        <v>44</v>
      </c>
      <c r="C48" t="s">
        <v>4</v>
      </c>
      <c r="D48">
        <v>2</v>
      </c>
      <c r="E48">
        <v>2</v>
      </c>
      <c r="F48">
        <v>1</v>
      </c>
      <c r="G48">
        <v>2.2999999999999998</v>
      </c>
      <c r="H48">
        <v>59</v>
      </c>
      <c r="I48" s="2">
        <v>64012</v>
      </c>
      <c r="P48" s="1"/>
      <c r="Q48" s="1"/>
    </row>
    <row r="49" spans="1:17" x14ac:dyDescent="0.25">
      <c r="A49" s="4">
        <v>44304</v>
      </c>
      <c r="B49" t="s">
        <v>43</v>
      </c>
      <c r="C49" t="s">
        <v>19</v>
      </c>
      <c r="D49">
        <v>1</v>
      </c>
      <c r="E49">
        <v>2</v>
      </c>
      <c r="F49">
        <v>0.3</v>
      </c>
      <c r="G49">
        <v>3.4</v>
      </c>
      <c r="H49">
        <v>48</v>
      </c>
      <c r="I49" s="49">
        <v>36730</v>
      </c>
      <c r="P49" s="1"/>
      <c r="Q49" s="1"/>
    </row>
    <row r="50" spans="1:17" x14ac:dyDescent="0.25">
      <c r="A50" s="4">
        <v>44308</v>
      </c>
      <c r="B50" t="s">
        <v>43</v>
      </c>
      <c r="C50" t="s">
        <v>18</v>
      </c>
      <c r="D50">
        <v>2</v>
      </c>
      <c r="E50">
        <v>1</v>
      </c>
      <c r="F50">
        <v>2.2000000000000002</v>
      </c>
      <c r="G50">
        <v>0.6</v>
      </c>
      <c r="H50">
        <v>41</v>
      </c>
      <c r="I50" s="49">
        <v>35194</v>
      </c>
      <c r="Q50" s="1"/>
    </row>
    <row r="51" spans="1:17" x14ac:dyDescent="0.25">
      <c r="A51" s="4">
        <v>44312</v>
      </c>
      <c r="B51" t="s">
        <v>44</v>
      </c>
      <c r="C51" t="s">
        <v>18</v>
      </c>
      <c r="D51">
        <v>1</v>
      </c>
      <c r="E51">
        <v>0</v>
      </c>
      <c r="F51">
        <v>0.7</v>
      </c>
      <c r="G51">
        <v>1.2</v>
      </c>
      <c r="H51">
        <v>47</v>
      </c>
      <c r="I51" s="49">
        <v>31381</v>
      </c>
    </row>
    <row r="52" spans="1:17" x14ac:dyDescent="0.25">
      <c r="A52" s="4">
        <v>44317</v>
      </c>
      <c r="B52" t="s">
        <v>44</v>
      </c>
      <c r="C52" t="s">
        <v>19</v>
      </c>
      <c r="D52">
        <v>0</v>
      </c>
      <c r="E52">
        <v>1</v>
      </c>
      <c r="F52">
        <v>0.3</v>
      </c>
      <c r="G52">
        <v>0.6</v>
      </c>
      <c r="H52">
        <v>53</v>
      </c>
      <c r="I52" s="49">
        <v>27684</v>
      </c>
      <c r="P52" s="1"/>
    </row>
    <row r="53" spans="1:17" x14ac:dyDescent="0.25">
      <c r="A53" s="4">
        <v>44323</v>
      </c>
      <c r="B53" t="s">
        <v>43</v>
      </c>
      <c r="C53" t="s">
        <v>18</v>
      </c>
      <c r="D53">
        <v>2</v>
      </c>
      <c r="E53">
        <v>0</v>
      </c>
      <c r="F53">
        <v>2.4</v>
      </c>
      <c r="G53">
        <v>0.2</v>
      </c>
      <c r="H53">
        <v>72</v>
      </c>
      <c r="I53" s="2">
        <v>18002</v>
      </c>
      <c r="P53" s="1"/>
      <c r="Q53" s="1"/>
    </row>
    <row r="54" spans="1:17" x14ac:dyDescent="0.25">
      <c r="A54" s="4">
        <v>44328</v>
      </c>
      <c r="B54" t="s">
        <v>44</v>
      </c>
      <c r="C54" t="s">
        <v>19</v>
      </c>
      <c r="D54">
        <v>1</v>
      </c>
      <c r="E54">
        <v>2</v>
      </c>
      <c r="F54">
        <v>1.7</v>
      </c>
      <c r="G54">
        <v>1.4</v>
      </c>
      <c r="H54">
        <v>65</v>
      </c>
      <c r="I54" s="49">
        <v>28142</v>
      </c>
      <c r="Q54" s="1"/>
    </row>
    <row r="55" spans="1:17" x14ac:dyDescent="0.25">
      <c r="A55" s="4">
        <v>44332</v>
      </c>
      <c r="B55" t="s">
        <v>43</v>
      </c>
      <c r="C55" t="s">
        <v>18</v>
      </c>
      <c r="D55">
        <v>4</v>
      </c>
      <c r="E55">
        <v>1</v>
      </c>
      <c r="F55">
        <v>1.8</v>
      </c>
      <c r="G55">
        <v>1.6</v>
      </c>
      <c r="H55">
        <v>54</v>
      </c>
      <c r="I55" s="49">
        <v>21647</v>
      </c>
      <c r="Q55" s="1"/>
    </row>
    <row r="56" spans="1:17" x14ac:dyDescent="0.25">
      <c r="A56" s="4">
        <v>44338</v>
      </c>
      <c r="B56" t="s">
        <v>44</v>
      </c>
      <c r="C56" t="s">
        <v>18</v>
      </c>
      <c r="D56">
        <v>1</v>
      </c>
      <c r="E56">
        <v>0</v>
      </c>
      <c r="F56">
        <v>2</v>
      </c>
      <c r="G56">
        <v>0.4</v>
      </c>
      <c r="H56">
        <v>56</v>
      </c>
      <c r="I56" s="49">
        <v>29912</v>
      </c>
      <c r="Q56" s="1"/>
    </row>
    <row r="57" spans="1:17" x14ac:dyDescent="0.25">
      <c r="Q57" s="1"/>
    </row>
    <row r="59" spans="1:17" x14ac:dyDescent="0.25">
      <c r="A59" s="4" t="s">
        <v>370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DDE9-50BA-4131-9B95-FCBA747F0537}">
  <dimension ref="A1:Q58"/>
  <sheetViews>
    <sheetView workbookViewId="0">
      <selection activeCell="A8" sqref="A8:I58"/>
    </sheetView>
  </sheetViews>
  <sheetFormatPr defaultRowHeight="15" x14ac:dyDescent="0.25"/>
  <cols>
    <col min="1" max="1" width="10.7109375" style="4" customWidth="1"/>
  </cols>
  <sheetData>
    <row r="1" spans="1:17" x14ac:dyDescent="0.25">
      <c r="A1" s="4" t="s">
        <v>545</v>
      </c>
    </row>
    <row r="2" spans="1:17" x14ac:dyDescent="0.25">
      <c r="A2" s="4" t="s">
        <v>546</v>
      </c>
    </row>
    <row r="3" spans="1:17" x14ac:dyDescent="0.25">
      <c r="A3" s="4" t="s">
        <v>547</v>
      </c>
    </row>
    <row r="4" spans="1:17" x14ac:dyDescent="0.25">
      <c r="A4" s="4" t="s">
        <v>548</v>
      </c>
    </row>
    <row r="7" spans="1:17" x14ac:dyDescent="0.25">
      <c r="A7" s="4" t="s">
        <v>0</v>
      </c>
      <c r="B7" t="s">
        <v>53</v>
      </c>
      <c r="C7" t="s">
        <v>54</v>
      </c>
      <c r="D7" t="s">
        <v>20</v>
      </c>
      <c r="E7" t="s">
        <v>21</v>
      </c>
      <c r="F7" t="s">
        <v>55</v>
      </c>
      <c r="G7" t="s">
        <v>56</v>
      </c>
      <c r="H7" t="s">
        <v>57</v>
      </c>
      <c r="I7" t="s">
        <v>24</v>
      </c>
    </row>
    <row r="8" spans="1:17" x14ac:dyDescent="0.25">
      <c r="A8" s="4">
        <v>44423</v>
      </c>
      <c r="B8" t="s">
        <v>44</v>
      </c>
      <c r="C8" t="s">
        <v>19</v>
      </c>
      <c r="D8">
        <v>2</v>
      </c>
      <c r="E8">
        <v>4</v>
      </c>
      <c r="F8">
        <v>0.8</v>
      </c>
      <c r="G8">
        <v>2.8</v>
      </c>
      <c r="H8">
        <v>38</v>
      </c>
      <c r="I8" s="2">
        <v>20384</v>
      </c>
      <c r="Q8" s="1"/>
    </row>
    <row r="9" spans="1:17" x14ac:dyDescent="0.25">
      <c r="A9" s="4">
        <v>44430</v>
      </c>
      <c r="B9" t="s">
        <v>43</v>
      </c>
      <c r="C9" t="s">
        <v>18</v>
      </c>
      <c r="D9">
        <v>1</v>
      </c>
      <c r="E9">
        <v>0</v>
      </c>
      <c r="F9">
        <v>1.9</v>
      </c>
      <c r="G9">
        <v>0.5</v>
      </c>
      <c r="H9">
        <v>61</v>
      </c>
      <c r="I9" s="2">
        <v>7652</v>
      </c>
    </row>
    <row r="10" spans="1:17" x14ac:dyDescent="0.25">
      <c r="A10" s="4">
        <v>44436</v>
      </c>
      <c r="B10" t="s">
        <v>43</v>
      </c>
      <c r="C10" t="s">
        <v>18</v>
      </c>
      <c r="D10">
        <v>1</v>
      </c>
      <c r="E10">
        <v>0</v>
      </c>
      <c r="F10">
        <v>1</v>
      </c>
      <c r="G10">
        <v>0.4</v>
      </c>
      <c r="H10">
        <v>51</v>
      </c>
      <c r="I10" s="2">
        <v>7758</v>
      </c>
      <c r="Q10" s="1"/>
    </row>
    <row r="11" spans="1:17" x14ac:dyDescent="0.25">
      <c r="A11" s="4">
        <v>44451</v>
      </c>
      <c r="B11" t="s">
        <v>44</v>
      </c>
      <c r="C11" t="s">
        <v>18</v>
      </c>
      <c r="D11">
        <v>2</v>
      </c>
      <c r="E11">
        <v>0</v>
      </c>
      <c r="F11">
        <v>1.9</v>
      </c>
      <c r="G11">
        <v>0.3</v>
      </c>
      <c r="H11">
        <v>76</v>
      </c>
      <c r="I11" s="2">
        <v>11826</v>
      </c>
      <c r="Q11" s="1"/>
    </row>
    <row r="12" spans="1:17" x14ac:dyDescent="0.25">
      <c r="A12" s="4">
        <v>44455</v>
      </c>
      <c r="B12" t="s">
        <v>44</v>
      </c>
      <c r="C12" t="s">
        <v>4</v>
      </c>
      <c r="D12">
        <v>2</v>
      </c>
      <c r="E12">
        <v>2</v>
      </c>
      <c r="F12">
        <v>1.3</v>
      </c>
      <c r="G12">
        <v>1.5</v>
      </c>
      <c r="H12">
        <v>39</v>
      </c>
      <c r="I12" s="2">
        <v>23135</v>
      </c>
      <c r="P12" s="1"/>
    </row>
    <row r="13" spans="1:17" x14ac:dyDescent="0.25">
      <c r="A13" s="4">
        <v>44458</v>
      </c>
      <c r="B13" t="s">
        <v>43</v>
      </c>
      <c r="C13" t="s">
        <v>4</v>
      </c>
      <c r="D13">
        <v>0</v>
      </c>
      <c r="E13">
        <v>0</v>
      </c>
      <c r="F13">
        <v>1.3</v>
      </c>
      <c r="G13">
        <v>0.5</v>
      </c>
      <c r="H13">
        <v>47</v>
      </c>
      <c r="I13" s="2">
        <v>23757</v>
      </c>
      <c r="P13" s="1"/>
      <c r="Q13" s="1"/>
    </row>
    <row r="14" spans="1:17" x14ac:dyDescent="0.25">
      <c r="A14" s="4">
        <v>44462</v>
      </c>
      <c r="B14" t="s">
        <v>44</v>
      </c>
      <c r="C14" t="s">
        <v>18</v>
      </c>
      <c r="D14">
        <v>3</v>
      </c>
      <c r="E14">
        <v>2</v>
      </c>
      <c r="F14">
        <v>1.7</v>
      </c>
      <c r="G14">
        <v>1.3</v>
      </c>
      <c r="H14">
        <v>61</v>
      </c>
      <c r="I14" s="2">
        <v>9552</v>
      </c>
      <c r="P14" s="1"/>
      <c r="Q14" s="1"/>
    </row>
    <row r="15" spans="1:17" x14ac:dyDescent="0.25">
      <c r="A15" s="4">
        <v>44465</v>
      </c>
      <c r="B15" t="s">
        <v>43</v>
      </c>
      <c r="C15" t="s">
        <v>18</v>
      </c>
      <c r="D15">
        <v>1</v>
      </c>
      <c r="E15">
        <v>0</v>
      </c>
      <c r="F15">
        <v>2.4</v>
      </c>
      <c r="G15">
        <v>0.5</v>
      </c>
      <c r="H15">
        <v>63</v>
      </c>
      <c r="I15" s="2">
        <v>23941</v>
      </c>
    </row>
    <row r="16" spans="1:17" x14ac:dyDescent="0.25">
      <c r="A16" s="4">
        <v>44469</v>
      </c>
      <c r="B16" t="s">
        <v>43</v>
      </c>
      <c r="C16" t="s">
        <v>4</v>
      </c>
      <c r="D16">
        <v>1</v>
      </c>
      <c r="E16">
        <v>1</v>
      </c>
      <c r="F16">
        <v>1.4</v>
      </c>
      <c r="G16">
        <v>0.3</v>
      </c>
      <c r="H16">
        <v>63</v>
      </c>
      <c r="I16" s="2">
        <v>23765</v>
      </c>
      <c r="P16" s="1"/>
      <c r="Q16" s="1"/>
    </row>
    <row r="17" spans="1:17" x14ac:dyDescent="0.25">
      <c r="A17" s="4">
        <v>44472</v>
      </c>
      <c r="B17" t="s">
        <v>44</v>
      </c>
      <c r="C17" t="s">
        <v>4</v>
      </c>
      <c r="D17">
        <v>1</v>
      </c>
      <c r="E17">
        <v>1</v>
      </c>
      <c r="F17">
        <v>0.7</v>
      </c>
      <c r="G17">
        <v>0.7</v>
      </c>
      <c r="H17">
        <v>62</v>
      </c>
      <c r="I17" s="2">
        <v>8463</v>
      </c>
      <c r="Q17" s="1"/>
    </row>
    <row r="18" spans="1:17" x14ac:dyDescent="0.25">
      <c r="A18" s="4">
        <v>44485</v>
      </c>
      <c r="B18" t="s">
        <v>43</v>
      </c>
      <c r="C18" t="s">
        <v>18</v>
      </c>
      <c r="D18">
        <v>1</v>
      </c>
      <c r="E18">
        <v>0</v>
      </c>
      <c r="F18">
        <v>0.4</v>
      </c>
      <c r="G18">
        <v>0.2</v>
      </c>
      <c r="H18">
        <v>50</v>
      </c>
      <c r="I18" s="2">
        <v>30831</v>
      </c>
    </row>
    <row r="19" spans="1:17" x14ac:dyDescent="0.25">
      <c r="A19" s="4">
        <v>44490</v>
      </c>
      <c r="B19" t="s">
        <v>44</v>
      </c>
      <c r="C19" t="s">
        <v>18</v>
      </c>
      <c r="D19">
        <v>1</v>
      </c>
      <c r="E19">
        <v>0</v>
      </c>
      <c r="F19">
        <v>1.5</v>
      </c>
      <c r="G19">
        <v>0.2</v>
      </c>
      <c r="H19">
        <v>61</v>
      </c>
      <c r="I19" s="2">
        <v>14809</v>
      </c>
    </row>
    <row r="20" spans="1:17" x14ac:dyDescent="0.25">
      <c r="A20" s="4">
        <v>44493</v>
      </c>
      <c r="B20" t="s">
        <v>44</v>
      </c>
      <c r="C20" t="s">
        <v>4</v>
      </c>
      <c r="D20">
        <v>2</v>
      </c>
      <c r="E20">
        <v>2</v>
      </c>
      <c r="F20">
        <v>0.8</v>
      </c>
      <c r="G20">
        <v>1.7</v>
      </c>
      <c r="H20">
        <v>44</v>
      </c>
      <c r="I20" s="2">
        <v>50032</v>
      </c>
      <c r="Q20" s="1"/>
    </row>
    <row r="21" spans="1:17" x14ac:dyDescent="0.25">
      <c r="A21" s="4">
        <v>44497</v>
      </c>
      <c r="B21" t="s">
        <v>44</v>
      </c>
      <c r="C21" t="s">
        <v>18</v>
      </c>
      <c r="D21">
        <v>2</v>
      </c>
      <c r="E21">
        <v>0</v>
      </c>
      <c r="F21">
        <v>1.7</v>
      </c>
      <c r="G21">
        <v>1.4</v>
      </c>
      <c r="H21">
        <v>42</v>
      </c>
      <c r="I21" s="2">
        <v>8726</v>
      </c>
    </row>
    <row r="22" spans="1:17" x14ac:dyDescent="0.25">
      <c r="A22" s="4">
        <v>44500</v>
      </c>
      <c r="B22" t="s">
        <v>43</v>
      </c>
      <c r="C22" t="s">
        <v>4</v>
      </c>
      <c r="D22">
        <v>1</v>
      </c>
      <c r="E22">
        <v>1</v>
      </c>
      <c r="F22">
        <v>1.1000000000000001</v>
      </c>
      <c r="G22">
        <v>1</v>
      </c>
      <c r="H22">
        <v>54</v>
      </c>
      <c r="I22" s="2">
        <v>37066</v>
      </c>
      <c r="Q22" s="1"/>
    </row>
    <row r="23" spans="1:17" x14ac:dyDescent="0.25">
      <c r="A23" s="4">
        <v>44504</v>
      </c>
      <c r="B23" t="s">
        <v>43</v>
      </c>
      <c r="C23" t="s">
        <v>4</v>
      </c>
      <c r="D23">
        <v>1</v>
      </c>
      <c r="E23">
        <v>1</v>
      </c>
      <c r="F23">
        <v>3.7</v>
      </c>
      <c r="G23">
        <v>1</v>
      </c>
      <c r="H23">
        <v>72</v>
      </c>
      <c r="I23" s="2">
        <v>25010</v>
      </c>
    </row>
    <row r="24" spans="1:17" x14ac:dyDescent="0.25">
      <c r="A24" s="4">
        <v>44507</v>
      </c>
      <c r="B24" t="s">
        <v>44</v>
      </c>
      <c r="C24" t="s">
        <v>18</v>
      </c>
      <c r="D24">
        <v>2</v>
      </c>
      <c r="E24">
        <v>0</v>
      </c>
      <c r="F24">
        <v>1.5</v>
      </c>
      <c r="G24">
        <v>0.4</v>
      </c>
      <c r="H24">
        <v>56</v>
      </c>
      <c r="I24" s="2">
        <v>21741</v>
      </c>
      <c r="P24" s="1"/>
    </row>
    <row r="25" spans="1:17" x14ac:dyDescent="0.25">
      <c r="A25" s="4">
        <v>44521</v>
      </c>
      <c r="B25" t="s">
        <v>43</v>
      </c>
      <c r="C25" t="s">
        <v>4</v>
      </c>
      <c r="D25">
        <v>0</v>
      </c>
      <c r="E25">
        <v>0</v>
      </c>
      <c r="F25">
        <v>0.3</v>
      </c>
      <c r="G25">
        <v>0.7</v>
      </c>
      <c r="H25">
        <v>62</v>
      </c>
      <c r="I25" s="2">
        <v>28635</v>
      </c>
    </row>
    <row r="26" spans="1:17" x14ac:dyDescent="0.25">
      <c r="A26" s="4">
        <v>44525</v>
      </c>
      <c r="B26" t="s">
        <v>44</v>
      </c>
      <c r="C26" t="s">
        <v>19</v>
      </c>
      <c r="D26">
        <v>1</v>
      </c>
      <c r="E26">
        <v>2</v>
      </c>
      <c r="F26">
        <v>1.4</v>
      </c>
      <c r="G26">
        <v>2.5</v>
      </c>
      <c r="H26">
        <v>61</v>
      </c>
      <c r="I26" s="2">
        <v>3834</v>
      </c>
      <c r="P26" s="1"/>
    </row>
    <row r="27" spans="1:17" x14ac:dyDescent="0.25">
      <c r="A27" s="4">
        <v>44528</v>
      </c>
      <c r="B27" t="s">
        <v>44</v>
      </c>
      <c r="C27" t="s">
        <v>19</v>
      </c>
      <c r="D27">
        <v>0</v>
      </c>
      <c r="E27">
        <v>1</v>
      </c>
      <c r="F27">
        <v>1.7</v>
      </c>
      <c r="G27">
        <v>0.4</v>
      </c>
      <c r="H27">
        <v>59</v>
      </c>
      <c r="I27" s="2">
        <v>19935</v>
      </c>
      <c r="P27" s="1"/>
    </row>
    <row r="28" spans="1:17" x14ac:dyDescent="0.25">
      <c r="A28" s="4">
        <v>44531</v>
      </c>
      <c r="B28" t="s">
        <v>44</v>
      </c>
      <c r="C28" t="s">
        <v>18</v>
      </c>
      <c r="D28">
        <v>4</v>
      </c>
      <c r="E28">
        <v>0</v>
      </c>
      <c r="H28">
        <v>72</v>
      </c>
      <c r="I28" s="2">
        <v>3841</v>
      </c>
      <c r="P28" s="1"/>
    </row>
    <row r="29" spans="1:17" x14ac:dyDescent="0.25">
      <c r="A29" s="4">
        <v>44534</v>
      </c>
      <c r="B29" t="s">
        <v>43</v>
      </c>
      <c r="C29" t="s">
        <v>19</v>
      </c>
      <c r="D29">
        <v>0</v>
      </c>
      <c r="E29">
        <v>2</v>
      </c>
      <c r="F29">
        <v>0.7</v>
      </c>
      <c r="G29">
        <v>1.6</v>
      </c>
      <c r="H29">
        <v>51</v>
      </c>
      <c r="I29" s="2">
        <v>35765</v>
      </c>
      <c r="P29" s="1"/>
      <c r="Q29" s="1"/>
    </row>
    <row r="30" spans="1:17" x14ac:dyDescent="0.25">
      <c r="A30" s="4">
        <v>44539</v>
      </c>
      <c r="B30" t="s">
        <v>43</v>
      </c>
      <c r="C30" t="s">
        <v>18</v>
      </c>
      <c r="D30">
        <v>3</v>
      </c>
      <c r="E30">
        <v>0</v>
      </c>
      <c r="F30">
        <v>2.2000000000000002</v>
      </c>
      <c r="G30">
        <v>0.5</v>
      </c>
      <c r="H30">
        <v>33</v>
      </c>
      <c r="I30" s="2">
        <v>24940</v>
      </c>
      <c r="P30" s="1"/>
    </row>
    <row r="31" spans="1:17" x14ac:dyDescent="0.25">
      <c r="A31" s="4">
        <v>44542</v>
      </c>
      <c r="B31" t="s">
        <v>44</v>
      </c>
      <c r="C31" t="s">
        <v>19</v>
      </c>
      <c r="D31">
        <v>0</v>
      </c>
      <c r="E31">
        <v>4</v>
      </c>
      <c r="F31">
        <v>0.9</v>
      </c>
      <c r="G31">
        <v>1.6</v>
      </c>
      <c r="H31">
        <v>51</v>
      </c>
      <c r="I31" s="2">
        <v>52158</v>
      </c>
    </row>
    <row r="32" spans="1:17" x14ac:dyDescent="0.25">
      <c r="A32" s="4">
        <v>44545</v>
      </c>
      <c r="B32" t="s">
        <v>44</v>
      </c>
      <c r="C32" t="s">
        <v>18</v>
      </c>
      <c r="D32">
        <v>3</v>
      </c>
      <c r="E32">
        <v>0</v>
      </c>
      <c r="H32">
        <v>64</v>
      </c>
      <c r="I32" s="2">
        <v>4251</v>
      </c>
      <c r="Q32" s="1"/>
    </row>
    <row r="33" spans="1:17" x14ac:dyDescent="0.25">
      <c r="A33" s="4">
        <v>44548</v>
      </c>
      <c r="B33" t="s">
        <v>43</v>
      </c>
      <c r="C33" t="s">
        <v>19</v>
      </c>
      <c r="D33">
        <v>1</v>
      </c>
      <c r="E33">
        <v>3</v>
      </c>
      <c r="F33">
        <v>0.9</v>
      </c>
      <c r="G33">
        <v>2.9</v>
      </c>
      <c r="H33">
        <v>40</v>
      </c>
      <c r="I33" s="2">
        <v>29679</v>
      </c>
      <c r="P33" s="1"/>
      <c r="Q33" s="1"/>
    </row>
    <row r="34" spans="1:17" x14ac:dyDescent="0.25">
      <c r="A34" s="4">
        <v>44563</v>
      </c>
      <c r="B34" t="s">
        <v>44</v>
      </c>
      <c r="C34" t="s">
        <v>4</v>
      </c>
      <c r="D34">
        <v>1</v>
      </c>
      <c r="E34">
        <v>1</v>
      </c>
      <c r="F34">
        <v>0.9</v>
      </c>
      <c r="G34">
        <v>1.7</v>
      </c>
      <c r="H34">
        <v>63</v>
      </c>
      <c r="I34" s="2">
        <v>13498</v>
      </c>
      <c r="Q34" s="1"/>
    </row>
    <row r="35" spans="1:17" x14ac:dyDescent="0.25">
      <c r="A35" s="4">
        <v>44566</v>
      </c>
      <c r="B35" t="s">
        <v>44</v>
      </c>
      <c r="C35" t="s">
        <v>18</v>
      </c>
      <c r="D35">
        <v>3</v>
      </c>
      <c r="E35">
        <v>2</v>
      </c>
      <c r="H35">
        <v>63</v>
      </c>
      <c r="I35" s="2">
        <v>6430</v>
      </c>
      <c r="P35" s="1"/>
    </row>
    <row r="36" spans="1:17" x14ac:dyDescent="0.25">
      <c r="A36" s="4">
        <v>44569</v>
      </c>
      <c r="B36" t="s">
        <v>43</v>
      </c>
      <c r="C36" t="s">
        <v>18</v>
      </c>
      <c r="D36">
        <v>1</v>
      </c>
      <c r="E36">
        <v>0</v>
      </c>
      <c r="F36">
        <v>1.7</v>
      </c>
      <c r="G36">
        <v>0.4</v>
      </c>
      <c r="H36">
        <v>41</v>
      </c>
      <c r="I36" s="2">
        <v>27938</v>
      </c>
      <c r="P36" s="1"/>
    </row>
    <row r="37" spans="1:17" x14ac:dyDescent="0.25">
      <c r="A37" s="4">
        <v>44580</v>
      </c>
      <c r="B37" t="s">
        <v>43</v>
      </c>
      <c r="C37" t="s">
        <v>18</v>
      </c>
      <c r="D37">
        <v>2</v>
      </c>
      <c r="E37">
        <v>0</v>
      </c>
      <c r="H37">
        <v>46</v>
      </c>
      <c r="I37" s="2">
        <v>28111</v>
      </c>
      <c r="P37" s="1"/>
      <c r="Q37" s="1"/>
    </row>
    <row r="38" spans="1:17" x14ac:dyDescent="0.25">
      <c r="A38" s="4">
        <v>44584</v>
      </c>
      <c r="B38" t="s">
        <v>43</v>
      </c>
      <c r="C38" t="s">
        <v>4</v>
      </c>
      <c r="D38">
        <v>0</v>
      </c>
      <c r="E38">
        <v>0</v>
      </c>
      <c r="F38">
        <v>0.8</v>
      </c>
      <c r="G38">
        <v>0.3</v>
      </c>
      <c r="H38">
        <v>70</v>
      </c>
      <c r="I38" s="2">
        <v>27368</v>
      </c>
    </row>
    <row r="39" spans="1:17" x14ac:dyDescent="0.25">
      <c r="A39" s="4">
        <v>44595</v>
      </c>
      <c r="B39" t="s">
        <v>43</v>
      </c>
      <c r="C39" t="s">
        <v>19</v>
      </c>
      <c r="D39">
        <v>0</v>
      </c>
      <c r="E39">
        <v>4</v>
      </c>
      <c r="H39">
        <v>56</v>
      </c>
      <c r="I39" s="2">
        <v>29326</v>
      </c>
      <c r="P39" s="1"/>
      <c r="Q39" s="1"/>
    </row>
    <row r="40" spans="1:17" x14ac:dyDescent="0.25">
      <c r="A40" s="4">
        <v>44598</v>
      </c>
      <c r="B40" t="s">
        <v>44</v>
      </c>
      <c r="C40" t="s">
        <v>4</v>
      </c>
      <c r="D40">
        <v>0</v>
      </c>
      <c r="E40">
        <v>0</v>
      </c>
      <c r="F40">
        <v>0.4</v>
      </c>
      <c r="G40">
        <v>1.1000000000000001</v>
      </c>
      <c r="H40">
        <v>60</v>
      </c>
      <c r="I40" s="2">
        <v>31351</v>
      </c>
    </row>
    <row r="41" spans="1:17" x14ac:dyDescent="0.25">
      <c r="A41" s="4">
        <v>44605</v>
      </c>
      <c r="B41" t="s">
        <v>43</v>
      </c>
      <c r="C41" t="s">
        <v>18</v>
      </c>
      <c r="D41">
        <v>2</v>
      </c>
      <c r="E41">
        <v>0</v>
      </c>
      <c r="F41">
        <v>2.9</v>
      </c>
      <c r="G41">
        <v>1.2</v>
      </c>
      <c r="H41">
        <v>56</v>
      </c>
      <c r="I41" s="2">
        <v>29847</v>
      </c>
      <c r="P41" s="1"/>
      <c r="Q41" s="1"/>
    </row>
    <row r="42" spans="1:17" x14ac:dyDescent="0.25">
      <c r="A42" s="4">
        <v>44609</v>
      </c>
      <c r="B42" t="s">
        <v>44</v>
      </c>
      <c r="C42" t="s">
        <v>4</v>
      </c>
      <c r="D42">
        <v>2</v>
      </c>
      <c r="E42">
        <v>2</v>
      </c>
      <c r="F42">
        <v>0.9</v>
      </c>
      <c r="G42">
        <v>1.7</v>
      </c>
      <c r="H42">
        <v>31</v>
      </c>
      <c r="I42" s="2">
        <v>21113</v>
      </c>
      <c r="Q42" s="1"/>
    </row>
    <row r="43" spans="1:17" x14ac:dyDescent="0.25">
      <c r="A43" s="4">
        <v>44612</v>
      </c>
      <c r="B43" t="s">
        <v>44</v>
      </c>
      <c r="C43" t="s">
        <v>19</v>
      </c>
      <c r="D43">
        <v>0</v>
      </c>
      <c r="E43">
        <v>4</v>
      </c>
      <c r="F43">
        <v>0.4</v>
      </c>
      <c r="G43">
        <v>2.8</v>
      </c>
      <c r="H43">
        <v>52</v>
      </c>
      <c r="I43" s="2">
        <v>40698</v>
      </c>
      <c r="P43" s="1"/>
    </row>
    <row r="44" spans="1:17" x14ac:dyDescent="0.25">
      <c r="A44" s="4">
        <v>44616</v>
      </c>
      <c r="B44" t="s">
        <v>43</v>
      </c>
      <c r="C44" t="s">
        <v>19</v>
      </c>
      <c r="D44">
        <v>1</v>
      </c>
      <c r="E44">
        <v>3</v>
      </c>
      <c r="F44">
        <v>1.2</v>
      </c>
      <c r="G44">
        <v>2.6</v>
      </c>
      <c r="H44">
        <v>48</v>
      </c>
      <c r="I44" s="2">
        <v>30113</v>
      </c>
      <c r="Q44" s="1"/>
    </row>
    <row r="45" spans="1:17" x14ac:dyDescent="0.25">
      <c r="A45" s="4">
        <v>44619</v>
      </c>
      <c r="B45" t="s">
        <v>43</v>
      </c>
      <c r="C45" t="s">
        <v>18</v>
      </c>
      <c r="D45">
        <v>1</v>
      </c>
      <c r="E45">
        <v>0</v>
      </c>
      <c r="F45">
        <v>1</v>
      </c>
      <c r="G45">
        <v>0.4</v>
      </c>
      <c r="H45">
        <v>58</v>
      </c>
      <c r="I45" s="2">
        <v>30145</v>
      </c>
      <c r="P45" s="1"/>
    </row>
    <row r="46" spans="1:17" x14ac:dyDescent="0.25">
      <c r="A46" s="4">
        <v>44622</v>
      </c>
      <c r="B46" t="s">
        <v>44</v>
      </c>
      <c r="C46" t="s">
        <v>18</v>
      </c>
      <c r="D46">
        <v>2</v>
      </c>
      <c r="E46">
        <v>0</v>
      </c>
      <c r="F46">
        <v>1.6</v>
      </c>
      <c r="G46">
        <v>0.5</v>
      </c>
      <c r="H46">
        <v>48</v>
      </c>
      <c r="I46" s="2">
        <v>11550</v>
      </c>
    </row>
    <row r="47" spans="1:17" x14ac:dyDescent="0.25">
      <c r="A47" s="4">
        <v>44625</v>
      </c>
      <c r="B47" t="s">
        <v>44</v>
      </c>
      <c r="C47" t="s">
        <v>19</v>
      </c>
      <c r="D47">
        <v>1</v>
      </c>
      <c r="E47">
        <v>4</v>
      </c>
      <c r="F47">
        <v>0.8</v>
      </c>
      <c r="G47">
        <v>2</v>
      </c>
      <c r="H47">
        <v>36</v>
      </c>
      <c r="I47" s="2">
        <v>52410</v>
      </c>
    </row>
    <row r="48" spans="1:17" x14ac:dyDescent="0.25">
      <c r="A48" s="4">
        <v>44633</v>
      </c>
      <c r="B48" t="s">
        <v>43</v>
      </c>
      <c r="C48" t="s">
        <v>18</v>
      </c>
      <c r="D48">
        <v>1</v>
      </c>
      <c r="E48">
        <v>0</v>
      </c>
      <c r="F48">
        <v>2.2000000000000002</v>
      </c>
      <c r="G48">
        <v>0.8</v>
      </c>
      <c r="H48">
        <v>59</v>
      </c>
      <c r="I48" s="2">
        <v>31573</v>
      </c>
      <c r="P48" s="1"/>
      <c r="Q48" s="1"/>
    </row>
    <row r="49" spans="1:17" x14ac:dyDescent="0.25">
      <c r="A49" s="4">
        <v>44640</v>
      </c>
      <c r="B49" t="s">
        <v>44</v>
      </c>
      <c r="C49" t="s">
        <v>4</v>
      </c>
      <c r="D49">
        <v>0</v>
      </c>
      <c r="E49">
        <v>0</v>
      </c>
      <c r="F49">
        <v>1.1000000000000001</v>
      </c>
      <c r="G49">
        <v>0.3</v>
      </c>
      <c r="H49">
        <v>40</v>
      </c>
      <c r="I49" s="2">
        <v>24861</v>
      </c>
    </row>
    <row r="50" spans="1:17" x14ac:dyDescent="0.25">
      <c r="A50" s="4">
        <v>44655</v>
      </c>
      <c r="B50" t="s">
        <v>43</v>
      </c>
      <c r="C50" t="s">
        <v>18</v>
      </c>
      <c r="D50">
        <v>1</v>
      </c>
      <c r="E50">
        <v>0</v>
      </c>
      <c r="F50">
        <v>2.2000000000000002</v>
      </c>
      <c r="G50">
        <v>0.4</v>
      </c>
      <c r="H50">
        <v>68</v>
      </c>
      <c r="I50" s="2">
        <v>20869</v>
      </c>
      <c r="P50" s="1"/>
    </row>
    <row r="51" spans="1:17" x14ac:dyDescent="0.25">
      <c r="A51" s="4">
        <v>44661</v>
      </c>
      <c r="B51" t="s">
        <v>44</v>
      </c>
      <c r="C51" t="s">
        <v>18</v>
      </c>
      <c r="D51">
        <v>2</v>
      </c>
      <c r="E51">
        <v>1</v>
      </c>
      <c r="F51">
        <v>1.7</v>
      </c>
      <c r="G51">
        <v>0.6</v>
      </c>
      <c r="H51">
        <v>50</v>
      </c>
      <c r="I51" s="2">
        <v>17011</v>
      </c>
    </row>
    <row r="52" spans="1:17" x14ac:dyDescent="0.25">
      <c r="A52" s="4">
        <v>44666</v>
      </c>
      <c r="B52" t="s">
        <v>43</v>
      </c>
      <c r="C52" t="s">
        <v>4</v>
      </c>
      <c r="D52">
        <v>0</v>
      </c>
      <c r="E52">
        <v>0</v>
      </c>
      <c r="F52">
        <v>0.9</v>
      </c>
      <c r="G52">
        <v>0.5</v>
      </c>
      <c r="H52">
        <v>57</v>
      </c>
      <c r="I52" s="2">
        <v>28893</v>
      </c>
      <c r="Q52" s="1"/>
    </row>
    <row r="53" spans="1:17" x14ac:dyDescent="0.25">
      <c r="A53" s="4">
        <v>44672</v>
      </c>
      <c r="B53" t="s">
        <v>43</v>
      </c>
      <c r="C53" t="s">
        <v>19</v>
      </c>
      <c r="D53">
        <v>0</v>
      </c>
      <c r="E53">
        <v>1</v>
      </c>
      <c r="F53">
        <v>0.8</v>
      </c>
      <c r="G53">
        <v>1.1000000000000001</v>
      </c>
      <c r="H53">
        <v>55</v>
      </c>
      <c r="I53" s="2">
        <v>35128</v>
      </c>
    </row>
    <row r="54" spans="1:17" x14ac:dyDescent="0.25">
      <c r="A54" s="4">
        <v>44682</v>
      </c>
      <c r="B54" t="s">
        <v>44</v>
      </c>
      <c r="C54" t="s">
        <v>4</v>
      </c>
      <c r="D54">
        <v>1</v>
      </c>
      <c r="E54">
        <v>1</v>
      </c>
      <c r="F54">
        <v>0.7</v>
      </c>
      <c r="G54">
        <v>1.4</v>
      </c>
      <c r="H54">
        <v>55</v>
      </c>
      <c r="I54" s="2">
        <v>9395</v>
      </c>
      <c r="Q54" s="1"/>
    </row>
    <row r="55" spans="1:17" x14ac:dyDescent="0.25">
      <c r="A55" s="4">
        <v>44687</v>
      </c>
      <c r="B55" t="s">
        <v>44</v>
      </c>
      <c r="C55" t="s">
        <v>19</v>
      </c>
      <c r="D55">
        <v>1</v>
      </c>
      <c r="E55">
        <v>2</v>
      </c>
      <c r="F55">
        <v>2.1</v>
      </c>
      <c r="G55">
        <v>2.1</v>
      </c>
      <c r="H55">
        <v>64</v>
      </c>
      <c r="I55" s="2">
        <v>17278</v>
      </c>
    </row>
    <row r="56" spans="1:17" x14ac:dyDescent="0.25">
      <c r="A56" s="4">
        <v>44693</v>
      </c>
      <c r="B56" t="s">
        <v>43</v>
      </c>
      <c r="C56" t="s">
        <v>18</v>
      </c>
      <c r="D56">
        <v>3</v>
      </c>
      <c r="E56">
        <v>0</v>
      </c>
      <c r="F56">
        <v>3</v>
      </c>
      <c r="G56">
        <v>0.7</v>
      </c>
      <c r="H56">
        <v>52</v>
      </c>
      <c r="I56" s="2">
        <v>29014</v>
      </c>
      <c r="Q56" s="1"/>
    </row>
    <row r="57" spans="1:17" x14ac:dyDescent="0.25">
      <c r="A57" s="4">
        <v>44696</v>
      </c>
      <c r="B57" t="s">
        <v>44</v>
      </c>
      <c r="C57" t="s">
        <v>18</v>
      </c>
      <c r="D57">
        <v>2</v>
      </c>
      <c r="E57">
        <v>1</v>
      </c>
      <c r="F57">
        <v>2.1</v>
      </c>
      <c r="G57">
        <v>0.7</v>
      </c>
      <c r="H57">
        <v>51</v>
      </c>
      <c r="I57" s="2">
        <v>16689</v>
      </c>
    </row>
    <row r="58" spans="1:17" x14ac:dyDescent="0.25">
      <c r="A58" s="4">
        <v>44703</v>
      </c>
      <c r="B58" t="s">
        <v>43</v>
      </c>
      <c r="C58" t="s">
        <v>19</v>
      </c>
      <c r="D58">
        <v>1</v>
      </c>
      <c r="E58">
        <v>2</v>
      </c>
      <c r="F58">
        <v>2.5</v>
      </c>
      <c r="G58">
        <v>0.7</v>
      </c>
      <c r="H58">
        <v>62</v>
      </c>
      <c r="I58" s="2">
        <v>23586</v>
      </c>
      <c r="Q58" s="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021D-2F51-47B9-8E6A-F261C948F2DF}">
  <dimension ref="A1:Q61"/>
  <sheetViews>
    <sheetView topLeftCell="A28" workbookViewId="0">
      <selection activeCell="A8" sqref="A8:I58"/>
    </sheetView>
  </sheetViews>
  <sheetFormatPr defaultRowHeight="15" x14ac:dyDescent="0.25"/>
  <cols>
    <col min="1" max="1" width="10.7109375" style="4" customWidth="1"/>
    <col min="14" max="14" width="9.140625" customWidth="1"/>
  </cols>
  <sheetData>
    <row r="1" spans="1:17" x14ac:dyDescent="0.25">
      <c r="A1" s="4" t="s">
        <v>549</v>
      </c>
    </row>
    <row r="2" spans="1:17" x14ac:dyDescent="0.25">
      <c r="A2" s="4" t="s">
        <v>550</v>
      </c>
    </row>
    <row r="3" spans="1:17" x14ac:dyDescent="0.25">
      <c r="A3" s="4" t="s">
        <v>294</v>
      </c>
    </row>
    <row r="4" spans="1:17" x14ac:dyDescent="0.25">
      <c r="A4" s="4" t="s">
        <v>551</v>
      </c>
    </row>
    <row r="7" spans="1:17" x14ac:dyDescent="0.25">
      <c r="A7" s="4" t="s">
        <v>0</v>
      </c>
      <c r="B7" t="s">
        <v>53</v>
      </c>
      <c r="C7" t="s">
        <v>54</v>
      </c>
      <c r="D7" t="s">
        <v>20</v>
      </c>
      <c r="E7" t="s">
        <v>21</v>
      </c>
      <c r="F7" t="s">
        <v>55</v>
      </c>
      <c r="G7" t="s">
        <v>56</v>
      </c>
      <c r="H7" t="s">
        <v>57</v>
      </c>
      <c r="I7" t="s">
        <v>24</v>
      </c>
    </row>
    <row r="8" spans="1:17" x14ac:dyDescent="0.25">
      <c r="A8" s="4">
        <v>44787</v>
      </c>
      <c r="B8" t="s">
        <v>44</v>
      </c>
      <c r="C8" t="s">
        <v>18</v>
      </c>
      <c r="D8">
        <v>1</v>
      </c>
      <c r="E8">
        <v>0</v>
      </c>
      <c r="F8">
        <v>1.7</v>
      </c>
      <c r="G8">
        <v>0.2</v>
      </c>
      <c r="H8">
        <v>59</v>
      </c>
      <c r="I8" s="2">
        <v>16570</v>
      </c>
      <c r="Q8" s="1"/>
    </row>
    <row r="9" spans="1:17" x14ac:dyDescent="0.25">
      <c r="A9" s="4">
        <v>44794</v>
      </c>
      <c r="B9" t="s">
        <v>43</v>
      </c>
      <c r="C9" t="s">
        <v>19</v>
      </c>
      <c r="D9">
        <v>1</v>
      </c>
      <c r="E9">
        <v>4</v>
      </c>
      <c r="F9">
        <v>0.8</v>
      </c>
      <c r="G9">
        <v>2.1</v>
      </c>
      <c r="H9">
        <v>42</v>
      </c>
      <c r="I9" s="2">
        <v>36201</v>
      </c>
    </row>
    <row r="10" spans="1:17" x14ac:dyDescent="0.25">
      <c r="A10" s="4">
        <v>44800</v>
      </c>
      <c r="B10" t="s">
        <v>44</v>
      </c>
      <c r="C10" t="s">
        <v>18</v>
      </c>
      <c r="D10">
        <v>1</v>
      </c>
      <c r="E10">
        <v>0</v>
      </c>
      <c r="F10">
        <v>1.8</v>
      </c>
      <c r="G10">
        <v>0.7</v>
      </c>
      <c r="H10">
        <v>55</v>
      </c>
      <c r="I10" s="2">
        <v>22656</v>
      </c>
      <c r="Q10" s="1"/>
    </row>
    <row r="11" spans="1:17" x14ac:dyDescent="0.25">
      <c r="A11" s="4">
        <v>44807</v>
      </c>
      <c r="B11" t="s">
        <v>43</v>
      </c>
      <c r="C11" t="s">
        <v>4</v>
      </c>
      <c r="D11">
        <v>1</v>
      </c>
      <c r="E11">
        <v>1</v>
      </c>
      <c r="F11">
        <v>1.4</v>
      </c>
      <c r="G11">
        <v>1.1000000000000001</v>
      </c>
      <c r="H11">
        <v>54</v>
      </c>
      <c r="I11" s="2">
        <v>35366</v>
      </c>
    </row>
    <row r="12" spans="1:17" x14ac:dyDescent="0.25">
      <c r="A12" s="4">
        <v>44812</v>
      </c>
      <c r="B12" t="s">
        <v>44</v>
      </c>
      <c r="C12" t="s">
        <v>18</v>
      </c>
      <c r="D12">
        <v>1</v>
      </c>
      <c r="E12">
        <v>0</v>
      </c>
      <c r="F12">
        <v>1.1000000000000001</v>
      </c>
      <c r="G12">
        <v>0.8</v>
      </c>
      <c r="H12">
        <v>45</v>
      </c>
      <c r="I12" s="2">
        <v>74310</v>
      </c>
    </row>
    <row r="13" spans="1:17" x14ac:dyDescent="0.25">
      <c r="A13" s="4">
        <v>44815</v>
      </c>
      <c r="B13" t="s">
        <v>44</v>
      </c>
      <c r="C13" t="s">
        <v>19</v>
      </c>
      <c r="D13">
        <v>1</v>
      </c>
      <c r="E13">
        <v>2</v>
      </c>
      <c r="F13">
        <v>1.2</v>
      </c>
      <c r="G13">
        <v>1.1000000000000001</v>
      </c>
      <c r="H13">
        <v>66</v>
      </c>
      <c r="I13" s="2">
        <v>11112</v>
      </c>
      <c r="Q13" s="1"/>
    </row>
    <row r="14" spans="1:17" x14ac:dyDescent="0.25">
      <c r="A14" s="4">
        <v>44819</v>
      </c>
      <c r="B14" t="s">
        <v>43</v>
      </c>
      <c r="C14" t="s">
        <v>18</v>
      </c>
      <c r="D14">
        <v>2</v>
      </c>
      <c r="E14">
        <v>1</v>
      </c>
      <c r="F14">
        <v>1.1000000000000001</v>
      </c>
      <c r="G14">
        <v>0.2</v>
      </c>
      <c r="H14">
        <v>70</v>
      </c>
      <c r="I14" s="2">
        <v>28587</v>
      </c>
      <c r="P14" s="1"/>
      <c r="Q14" s="1"/>
    </row>
    <row r="15" spans="1:17" x14ac:dyDescent="0.25">
      <c r="A15" s="4">
        <v>44822</v>
      </c>
      <c r="B15" t="s">
        <v>43</v>
      </c>
      <c r="C15" t="s">
        <v>18</v>
      </c>
      <c r="D15">
        <v>2</v>
      </c>
      <c r="E15">
        <v>1</v>
      </c>
      <c r="F15">
        <v>1.9</v>
      </c>
      <c r="G15">
        <v>0.8</v>
      </c>
      <c r="H15">
        <v>62</v>
      </c>
      <c r="I15" s="2">
        <v>31511</v>
      </c>
      <c r="Q15" s="1"/>
    </row>
    <row r="16" spans="1:17" x14ac:dyDescent="0.25">
      <c r="A16" s="4">
        <v>44836</v>
      </c>
      <c r="B16" t="s">
        <v>44</v>
      </c>
      <c r="C16" t="s">
        <v>18</v>
      </c>
      <c r="D16">
        <v>5</v>
      </c>
      <c r="E16">
        <v>3</v>
      </c>
      <c r="F16">
        <v>2.1</v>
      </c>
      <c r="G16">
        <v>1</v>
      </c>
      <c r="H16">
        <v>59</v>
      </c>
      <c r="I16" s="2">
        <v>12217</v>
      </c>
      <c r="P16" s="1"/>
      <c r="Q16" s="1"/>
    </row>
    <row r="17" spans="1:17" x14ac:dyDescent="0.25">
      <c r="A17" s="4">
        <v>44840</v>
      </c>
      <c r="B17" t="s">
        <v>44</v>
      </c>
      <c r="C17" t="s">
        <v>18</v>
      </c>
      <c r="D17">
        <v>2</v>
      </c>
      <c r="E17">
        <v>0</v>
      </c>
      <c r="F17">
        <v>1.5</v>
      </c>
      <c r="G17">
        <v>0.4</v>
      </c>
      <c r="H17">
        <v>65</v>
      </c>
      <c r="I17" s="2">
        <v>5427</v>
      </c>
      <c r="Q17" s="1"/>
    </row>
    <row r="18" spans="1:17" x14ac:dyDescent="0.25">
      <c r="A18" s="4">
        <v>44843</v>
      </c>
      <c r="B18" t="s">
        <v>43</v>
      </c>
      <c r="C18" t="s">
        <v>18</v>
      </c>
      <c r="D18">
        <v>1</v>
      </c>
      <c r="E18">
        <v>0</v>
      </c>
      <c r="F18">
        <v>1.2</v>
      </c>
      <c r="G18">
        <v>0.2</v>
      </c>
      <c r="H18">
        <v>60</v>
      </c>
      <c r="I18" s="2">
        <v>32689</v>
      </c>
      <c r="Q18" s="1"/>
    </row>
    <row r="19" spans="1:17" x14ac:dyDescent="0.25">
      <c r="A19" s="4">
        <v>44847</v>
      </c>
      <c r="B19" t="s">
        <v>43</v>
      </c>
      <c r="C19" t="s">
        <v>18</v>
      </c>
      <c r="D19">
        <v>3</v>
      </c>
      <c r="E19">
        <v>0</v>
      </c>
      <c r="F19">
        <v>2.2000000000000002</v>
      </c>
      <c r="G19">
        <v>0.2</v>
      </c>
      <c r="H19">
        <v>68</v>
      </c>
      <c r="I19" s="2">
        <v>25806</v>
      </c>
      <c r="Q19" s="1"/>
    </row>
    <row r="20" spans="1:17" x14ac:dyDescent="0.25">
      <c r="A20" s="4">
        <v>44850</v>
      </c>
      <c r="B20" t="s">
        <v>44</v>
      </c>
      <c r="C20" t="s">
        <v>18</v>
      </c>
      <c r="D20">
        <v>2</v>
      </c>
      <c r="E20">
        <v>1</v>
      </c>
      <c r="F20">
        <v>0.8</v>
      </c>
      <c r="G20">
        <v>0.5</v>
      </c>
      <c r="H20">
        <v>47</v>
      </c>
      <c r="I20" s="2">
        <v>13101</v>
      </c>
      <c r="P20" s="1"/>
    </row>
    <row r="21" spans="1:17" x14ac:dyDescent="0.25">
      <c r="A21" s="4">
        <v>44853</v>
      </c>
      <c r="B21" t="s">
        <v>43</v>
      </c>
      <c r="C21" t="s">
        <v>18</v>
      </c>
      <c r="D21">
        <v>1</v>
      </c>
      <c r="E21">
        <v>0</v>
      </c>
      <c r="F21">
        <v>1.2</v>
      </c>
      <c r="G21">
        <v>0.9</v>
      </c>
      <c r="H21">
        <v>51</v>
      </c>
      <c r="I21" s="2">
        <v>27085</v>
      </c>
      <c r="Q21" s="1"/>
    </row>
    <row r="22" spans="1:17" x14ac:dyDescent="0.25">
      <c r="A22" s="4">
        <v>44856</v>
      </c>
      <c r="B22" t="s">
        <v>44</v>
      </c>
      <c r="C22" t="s">
        <v>19</v>
      </c>
      <c r="D22">
        <v>0</v>
      </c>
      <c r="E22">
        <v>1</v>
      </c>
      <c r="F22">
        <v>0.9</v>
      </c>
      <c r="G22">
        <v>0.8</v>
      </c>
      <c r="H22">
        <v>74</v>
      </c>
      <c r="I22" s="2">
        <v>21175</v>
      </c>
      <c r="Q22" s="1"/>
    </row>
    <row r="23" spans="1:17" x14ac:dyDescent="0.25">
      <c r="A23" s="4">
        <v>44861</v>
      </c>
      <c r="B23" t="s">
        <v>44</v>
      </c>
      <c r="C23" t="s">
        <v>18</v>
      </c>
      <c r="D23">
        <v>2</v>
      </c>
      <c r="E23">
        <v>0</v>
      </c>
      <c r="F23">
        <v>1.3</v>
      </c>
      <c r="G23">
        <v>0.3</v>
      </c>
      <c r="H23">
        <v>63</v>
      </c>
      <c r="I23" s="2">
        <v>11780</v>
      </c>
      <c r="P23" s="1"/>
    </row>
    <row r="24" spans="1:17" x14ac:dyDescent="0.25">
      <c r="A24" s="4">
        <v>44864</v>
      </c>
      <c r="B24" t="s">
        <v>43</v>
      </c>
      <c r="C24" t="s">
        <v>19</v>
      </c>
      <c r="D24">
        <v>0</v>
      </c>
      <c r="E24">
        <v>2</v>
      </c>
      <c r="F24">
        <v>0.9</v>
      </c>
      <c r="G24">
        <v>1.3</v>
      </c>
      <c r="H24">
        <v>58</v>
      </c>
      <c r="I24" s="2">
        <v>32435</v>
      </c>
    </row>
    <row r="25" spans="1:17" x14ac:dyDescent="0.25">
      <c r="A25" s="4">
        <v>44868</v>
      </c>
      <c r="B25" t="s">
        <v>43</v>
      </c>
      <c r="C25" t="s">
        <v>19</v>
      </c>
      <c r="D25">
        <v>0</v>
      </c>
      <c r="E25">
        <v>1</v>
      </c>
      <c r="F25">
        <v>1.1000000000000001</v>
      </c>
      <c r="G25">
        <v>0.7</v>
      </c>
      <c r="H25">
        <v>47</v>
      </c>
      <c r="I25" s="2">
        <v>36744</v>
      </c>
    </row>
    <row r="26" spans="1:17" x14ac:dyDescent="0.25">
      <c r="A26" s="4">
        <v>44871</v>
      </c>
      <c r="B26" t="s">
        <v>43</v>
      </c>
      <c r="C26" t="s">
        <v>4</v>
      </c>
      <c r="D26">
        <v>1</v>
      </c>
      <c r="E26">
        <v>1</v>
      </c>
      <c r="F26">
        <v>1.1000000000000001</v>
      </c>
      <c r="G26">
        <v>0.9</v>
      </c>
      <c r="H26">
        <v>29</v>
      </c>
      <c r="I26" s="2">
        <v>32773</v>
      </c>
      <c r="Q26" s="1"/>
    </row>
    <row r="27" spans="1:17" x14ac:dyDescent="0.25">
      <c r="A27" s="4">
        <v>44874</v>
      </c>
      <c r="B27" t="s">
        <v>44</v>
      </c>
      <c r="C27" t="s">
        <v>18</v>
      </c>
      <c r="D27">
        <v>2</v>
      </c>
      <c r="E27">
        <v>1</v>
      </c>
      <c r="F27">
        <v>1.7</v>
      </c>
      <c r="G27">
        <v>0.6</v>
      </c>
      <c r="H27">
        <v>68</v>
      </c>
      <c r="I27" s="2">
        <v>34814</v>
      </c>
    </row>
    <row r="28" spans="1:17" x14ac:dyDescent="0.25">
      <c r="A28" s="4">
        <v>44878</v>
      </c>
      <c r="B28" t="s">
        <v>44</v>
      </c>
      <c r="C28" t="s">
        <v>18</v>
      </c>
      <c r="D28">
        <v>4</v>
      </c>
      <c r="E28">
        <v>1</v>
      </c>
      <c r="H28">
        <v>72</v>
      </c>
      <c r="I28" s="2">
        <v>4200</v>
      </c>
      <c r="Q28" s="1"/>
    </row>
    <row r="29" spans="1:17" x14ac:dyDescent="0.25">
      <c r="A29" s="4">
        <v>44916</v>
      </c>
      <c r="B29" t="s">
        <v>44</v>
      </c>
      <c r="C29" t="s">
        <v>18</v>
      </c>
      <c r="D29">
        <v>5</v>
      </c>
      <c r="E29">
        <v>0</v>
      </c>
      <c r="H29">
        <v>63</v>
      </c>
      <c r="I29" s="2">
        <v>4389</v>
      </c>
      <c r="Q29" s="1"/>
    </row>
    <row r="30" spans="1:17" x14ac:dyDescent="0.25">
      <c r="A30" s="4">
        <v>44926</v>
      </c>
      <c r="B30" t="s">
        <v>43</v>
      </c>
      <c r="C30" t="s">
        <v>18</v>
      </c>
      <c r="D30">
        <v>2</v>
      </c>
      <c r="E30">
        <v>0</v>
      </c>
      <c r="F30">
        <v>1.4</v>
      </c>
      <c r="G30">
        <v>0.4</v>
      </c>
      <c r="H30">
        <v>51</v>
      </c>
      <c r="I30" s="2">
        <v>34847</v>
      </c>
      <c r="Q30" s="1"/>
    </row>
    <row r="31" spans="1:17" x14ac:dyDescent="0.25">
      <c r="A31" s="4">
        <v>44930</v>
      </c>
      <c r="B31" t="s">
        <v>44</v>
      </c>
      <c r="C31" t="s">
        <v>18</v>
      </c>
      <c r="D31">
        <v>1</v>
      </c>
      <c r="E31">
        <v>0</v>
      </c>
      <c r="H31">
        <v>60</v>
      </c>
      <c r="I31" s="2">
        <v>15000</v>
      </c>
    </row>
    <row r="32" spans="1:17" x14ac:dyDescent="0.25">
      <c r="A32" s="4">
        <v>44934</v>
      </c>
      <c r="B32" t="s">
        <v>44</v>
      </c>
      <c r="C32" t="s">
        <v>18</v>
      </c>
      <c r="D32">
        <v>2</v>
      </c>
      <c r="E32">
        <v>0</v>
      </c>
      <c r="F32">
        <v>1.7</v>
      </c>
      <c r="G32">
        <v>0.6</v>
      </c>
      <c r="H32">
        <v>56</v>
      </c>
      <c r="I32" s="2">
        <v>12020</v>
      </c>
      <c r="Q32" s="1"/>
    </row>
    <row r="33" spans="1:17" x14ac:dyDescent="0.25">
      <c r="A33" s="4">
        <v>44940</v>
      </c>
      <c r="B33" t="s">
        <v>43</v>
      </c>
      <c r="C33" t="s">
        <v>18</v>
      </c>
      <c r="D33">
        <v>3</v>
      </c>
      <c r="E33">
        <v>1</v>
      </c>
      <c r="F33">
        <v>2</v>
      </c>
      <c r="G33">
        <v>0.3</v>
      </c>
      <c r="H33">
        <v>57</v>
      </c>
      <c r="I33" s="2">
        <v>38296</v>
      </c>
    </row>
    <row r="34" spans="1:17" x14ac:dyDescent="0.25">
      <c r="A34" s="4">
        <v>44943</v>
      </c>
      <c r="B34" t="s">
        <v>43</v>
      </c>
      <c r="C34" t="s">
        <v>18</v>
      </c>
      <c r="D34">
        <v>1</v>
      </c>
      <c r="E34">
        <v>0</v>
      </c>
      <c r="H34">
        <v>57</v>
      </c>
      <c r="I34" s="2">
        <v>23408</v>
      </c>
      <c r="Q34" s="1"/>
    </row>
    <row r="35" spans="1:17" x14ac:dyDescent="0.25">
      <c r="A35" s="4">
        <v>44947</v>
      </c>
      <c r="B35" t="s">
        <v>44</v>
      </c>
      <c r="C35" t="s">
        <v>18</v>
      </c>
      <c r="D35">
        <v>2</v>
      </c>
      <c r="E35">
        <v>0</v>
      </c>
      <c r="F35">
        <v>1.6</v>
      </c>
      <c r="G35">
        <v>0.9</v>
      </c>
      <c r="H35">
        <v>46</v>
      </c>
      <c r="I35" s="2">
        <v>12874</v>
      </c>
    </row>
    <row r="36" spans="1:17" x14ac:dyDescent="0.25">
      <c r="A36" s="4">
        <v>44951</v>
      </c>
      <c r="B36" t="s">
        <v>44</v>
      </c>
      <c r="C36" t="s">
        <v>19</v>
      </c>
      <c r="D36">
        <v>0</v>
      </c>
      <c r="E36">
        <v>1</v>
      </c>
      <c r="H36">
        <v>26</v>
      </c>
      <c r="I36" s="2">
        <v>59610</v>
      </c>
      <c r="Q36" s="1"/>
    </row>
    <row r="37" spans="1:17" x14ac:dyDescent="0.25">
      <c r="A37" s="4">
        <v>44955</v>
      </c>
      <c r="B37" t="s">
        <v>44</v>
      </c>
      <c r="C37" t="s">
        <v>4</v>
      </c>
      <c r="D37">
        <v>0</v>
      </c>
      <c r="E37">
        <v>0</v>
      </c>
      <c r="F37">
        <v>0.4</v>
      </c>
      <c r="G37">
        <v>1.3</v>
      </c>
      <c r="H37">
        <v>39</v>
      </c>
      <c r="I37" s="2">
        <v>58129</v>
      </c>
      <c r="P37" s="1"/>
      <c r="Q37" s="1"/>
    </row>
    <row r="38" spans="1:17" x14ac:dyDescent="0.25">
      <c r="A38" s="4">
        <v>44962</v>
      </c>
      <c r="B38" t="s">
        <v>43</v>
      </c>
      <c r="C38" t="s">
        <v>19</v>
      </c>
      <c r="D38">
        <v>0</v>
      </c>
      <c r="E38">
        <v>1</v>
      </c>
      <c r="F38">
        <v>1.2</v>
      </c>
      <c r="G38">
        <v>0.7</v>
      </c>
      <c r="H38">
        <v>55</v>
      </c>
      <c r="I38" s="2">
        <v>32214</v>
      </c>
    </row>
    <row r="39" spans="1:17" x14ac:dyDescent="0.25">
      <c r="A39" s="4">
        <v>44970</v>
      </c>
      <c r="B39" t="s">
        <v>44</v>
      </c>
      <c r="C39" t="s">
        <v>18</v>
      </c>
      <c r="D39">
        <v>3</v>
      </c>
      <c r="E39">
        <v>2</v>
      </c>
      <c r="F39">
        <v>1.4</v>
      </c>
      <c r="G39">
        <v>1.2</v>
      </c>
      <c r="H39">
        <v>56</v>
      </c>
      <c r="I39" s="2">
        <v>15867</v>
      </c>
    </row>
    <row r="40" spans="1:17" x14ac:dyDescent="0.25">
      <c r="A40" s="4">
        <v>44975</v>
      </c>
      <c r="B40" t="s">
        <v>43</v>
      </c>
      <c r="C40" t="s">
        <v>4</v>
      </c>
      <c r="D40">
        <v>1</v>
      </c>
      <c r="E40">
        <v>1</v>
      </c>
      <c r="F40">
        <v>1.4</v>
      </c>
      <c r="G40">
        <v>1.4</v>
      </c>
      <c r="H40">
        <v>54</v>
      </c>
      <c r="I40" s="2">
        <v>29312</v>
      </c>
      <c r="Q40" s="1"/>
    </row>
    <row r="41" spans="1:17" x14ac:dyDescent="0.25">
      <c r="A41" s="4">
        <v>44982</v>
      </c>
      <c r="B41" t="s">
        <v>44</v>
      </c>
      <c r="C41" t="s">
        <v>19</v>
      </c>
      <c r="D41">
        <v>0</v>
      </c>
      <c r="E41">
        <v>1</v>
      </c>
      <c r="F41">
        <v>0.7</v>
      </c>
      <c r="G41">
        <v>0.5</v>
      </c>
      <c r="H41">
        <v>62</v>
      </c>
      <c r="I41" s="2">
        <v>37465</v>
      </c>
      <c r="Q41" s="1"/>
    </row>
    <row r="42" spans="1:17" x14ac:dyDescent="0.25">
      <c r="A42" s="4">
        <v>44988</v>
      </c>
      <c r="B42" t="s">
        <v>43</v>
      </c>
      <c r="C42" t="s">
        <v>4</v>
      </c>
      <c r="D42">
        <v>0</v>
      </c>
      <c r="E42">
        <v>0</v>
      </c>
      <c r="F42">
        <v>1.2</v>
      </c>
      <c r="G42">
        <v>0.6</v>
      </c>
      <c r="H42">
        <v>71</v>
      </c>
      <c r="I42" s="2">
        <v>28733</v>
      </c>
      <c r="Q42" s="1"/>
    </row>
    <row r="43" spans="1:17" x14ac:dyDescent="0.25">
      <c r="A43" s="4">
        <v>44994</v>
      </c>
      <c r="B43" t="s">
        <v>44</v>
      </c>
      <c r="C43" t="s">
        <v>19</v>
      </c>
      <c r="D43">
        <v>0</v>
      </c>
      <c r="E43">
        <v>2</v>
      </c>
      <c r="F43">
        <v>0.8</v>
      </c>
      <c r="G43">
        <v>2.2000000000000002</v>
      </c>
      <c r="H43">
        <v>59</v>
      </c>
      <c r="I43" s="2">
        <v>61608</v>
      </c>
    </row>
    <row r="44" spans="1:17" x14ac:dyDescent="0.25">
      <c r="A44" s="4">
        <v>44997</v>
      </c>
      <c r="B44" t="s">
        <v>44</v>
      </c>
      <c r="C44" t="s">
        <v>4</v>
      </c>
      <c r="D44">
        <v>1</v>
      </c>
      <c r="E44">
        <v>1</v>
      </c>
      <c r="F44">
        <v>0.5</v>
      </c>
      <c r="G44">
        <v>1.4</v>
      </c>
      <c r="H44">
        <v>62</v>
      </c>
      <c r="I44" s="2">
        <v>13840</v>
      </c>
      <c r="Q44" s="1"/>
    </row>
    <row r="45" spans="1:17" x14ac:dyDescent="0.25">
      <c r="A45" s="4">
        <v>45001</v>
      </c>
      <c r="B45" t="s">
        <v>43</v>
      </c>
      <c r="C45" t="s">
        <v>4</v>
      </c>
      <c r="D45">
        <v>0</v>
      </c>
      <c r="E45">
        <v>0</v>
      </c>
      <c r="F45">
        <v>1.7</v>
      </c>
      <c r="G45">
        <v>0.1</v>
      </c>
      <c r="H45">
        <v>75</v>
      </c>
      <c r="I45" s="2">
        <v>35054</v>
      </c>
      <c r="Q45" s="1"/>
    </row>
    <row r="46" spans="1:17" x14ac:dyDescent="0.25">
      <c r="A46" s="4">
        <v>45004</v>
      </c>
      <c r="B46" t="s">
        <v>43</v>
      </c>
      <c r="C46" t="s">
        <v>18</v>
      </c>
      <c r="D46">
        <v>2</v>
      </c>
      <c r="E46">
        <v>0</v>
      </c>
      <c r="F46">
        <v>2</v>
      </c>
      <c r="G46">
        <v>0.1</v>
      </c>
      <c r="H46">
        <v>60</v>
      </c>
      <c r="I46" s="2">
        <v>28496</v>
      </c>
    </row>
    <row r="47" spans="1:17" x14ac:dyDescent="0.25">
      <c r="A47" s="4">
        <v>45018</v>
      </c>
      <c r="B47" t="s">
        <v>44</v>
      </c>
      <c r="C47" t="s">
        <v>19</v>
      </c>
      <c r="D47">
        <v>0</v>
      </c>
      <c r="E47">
        <v>2</v>
      </c>
      <c r="F47">
        <v>1</v>
      </c>
      <c r="G47">
        <v>2.7</v>
      </c>
      <c r="H47">
        <v>48</v>
      </c>
      <c r="I47" s="2">
        <v>18768</v>
      </c>
      <c r="Q47" s="1"/>
    </row>
    <row r="48" spans="1:17" x14ac:dyDescent="0.25">
      <c r="A48" s="4">
        <v>45024</v>
      </c>
      <c r="B48" t="s">
        <v>43</v>
      </c>
      <c r="C48" t="s">
        <v>18</v>
      </c>
      <c r="D48">
        <v>2</v>
      </c>
      <c r="E48">
        <v>0</v>
      </c>
      <c r="F48">
        <v>2.1</v>
      </c>
      <c r="G48">
        <v>0.3</v>
      </c>
      <c r="H48">
        <v>60</v>
      </c>
      <c r="I48" s="2">
        <v>27606</v>
      </c>
      <c r="Q48" s="1"/>
    </row>
    <row r="49" spans="1:17" x14ac:dyDescent="0.25">
      <c r="A49" s="4">
        <v>45031</v>
      </c>
      <c r="B49" t="s">
        <v>44</v>
      </c>
      <c r="C49" t="s">
        <v>19</v>
      </c>
      <c r="D49">
        <v>0</v>
      </c>
      <c r="E49">
        <v>2</v>
      </c>
      <c r="F49">
        <v>1.4</v>
      </c>
      <c r="G49">
        <v>0.8</v>
      </c>
      <c r="H49">
        <v>49</v>
      </c>
      <c r="I49" s="2">
        <v>49287</v>
      </c>
      <c r="Q49" s="1"/>
    </row>
    <row r="50" spans="1:17" x14ac:dyDescent="0.25">
      <c r="A50" s="4">
        <v>45038</v>
      </c>
      <c r="B50" t="s">
        <v>43</v>
      </c>
      <c r="C50" t="s">
        <v>18</v>
      </c>
      <c r="D50">
        <v>2</v>
      </c>
      <c r="E50">
        <v>1</v>
      </c>
      <c r="F50">
        <v>0.6</v>
      </c>
      <c r="G50">
        <v>0.5</v>
      </c>
      <c r="H50">
        <v>60</v>
      </c>
      <c r="I50" s="2">
        <v>32054</v>
      </c>
    </row>
    <row r="51" spans="1:17" x14ac:dyDescent="0.25">
      <c r="A51" s="4">
        <v>45041</v>
      </c>
      <c r="B51" t="s">
        <v>44</v>
      </c>
      <c r="C51" t="s">
        <v>4</v>
      </c>
      <c r="D51">
        <v>0</v>
      </c>
      <c r="E51">
        <v>0</v>
      </c>
      <c r="F51">
        <v>0.9</v>
      </c>
      <c r="G51">
        <v>1</v>
      </c>
      <c r="H51">
        <v>42</v>
      </c>
      <c r="I51" s="2">
        <v>42294</v>
      </c>
    </row>
    <row r="52" spans="1:17" x14ac:dyDescent="0.25">
      <c r="A52" s="4">
        <v>45044</v>
      </c>
      <c r="B52" t="s">
        <v>44</v>
      </c>
      <c r="C52" t="s">
        <v>18</v>
      </c>
      <c r="D52">
        <v>2</v>
      </c>
      <c r="E52">
        <v>0</v>
      </c>
      <c r="F52">
        <v>1.4</v>
      </c>
      <c r="G52">
        <v>1.4</v>
      </c>
      <c r="H52">
        <v>49</v>
      </c>
      <c r="I52" s="2">
        <v>21570</v>
      </c>
    </row>
    <row r="53" spans="1:17" x14ac:dyDescent="0.25">
      <c r="A53" s="4">
        <v>45048</v>
      </c>
      <c r="B53" t="s">
        <v>43</v>
      </c>
      <c r="C53" t="s">
        <v>18</v>
      </c>
      <c r="D53">
        <v>2</v>
      </c>
      <c r="E53">
        <v>0</v>
      </c>
      <c r="F53">
        <v>1.9</v>
      </c>
      <c r="G53">
        <v>0.8</v>
      </c>
      <c r="H53">
        <v>53</v>
      </c>
      <c r="I53" s="2">
        <v>35314</v>
      </c>
      <c r="P53" s="1"/>
    </row>
    <row r="54" spans="1:17" x14ac:dyDescent="0.25">
      <c r="A54" s="4">
        <v>45059</v>
      </c>
      <c r="B54" t="s">
        <v>43</v>
      </c>
      <c r="C54" t="s">
        <v>4</v>
      </c>
      <c r="D54">
        <v>2</v>
      </c>
      <c r="E54">
        <v>2</v>
      </c>
      <c r="F54">
        <v>2.7</v>
      </c>
      <c r="G54">
        <v>1.2</v>
      </c>
      <c r="H54">
        <v>51</v>
      </c>
      <c r="I54" s="2">
        <v>30027</v>
      </c>
      <c r="Q54" s="1"/>
    </row>
    <row r="55" spans="1:17" x14ac:dyDescent="0.25">
      <c r="A55" s="4">
        <v>45066</v>
      </c>
      <c r="B55" t="s">
        <v>44</v>
      </c>
      <c r="C55" t="s">
        <v>18</v>
      </c>
      <c r="D55">
        <v>2</v>
      </c>
      <c r="E55">
        <v>1</v>
      </c>
      <c r="F55">
        <v>2</v>
      </c>
      <c r="G55">
        <v>1.5</v>
      </c>
      <c r="H55">
        <v>33</v>
      </c>
      <c r="I55" s="2">
        <v>88049</v>
      </c>
      <c r="P55" s="1"/>
    </row>
    <row r="56" spans="1:17" x14ac:dyDescent="0.25">
      <c r="A56" s="4">
        <v>45069</v>
      </c>
      <c r="B56" t="s">
        <v>43</v>
      </c>
      <c r="C56" t="s">
        <v>18</v>
      </c>
      <c r="D56">
        <v>1</v>
      </c>
      <c r="E56">
        <v>0</v>
      </c>
      <c r="F56">
        <v>1.9</v>
      </c>
      <c r="G56">
        <v>0.1</v>
      </c>
      <c r="H56">
        <v>72</v>
      </c>
      <c r="I56" s="2">
        <v>31574</v>
      </c>
      <c r="Q56" s="1"/>
    </row>
    <row r="57" spans="1:17" x14ac:dyDescent="0.25">
      <c r="A57" s="4">
        <v>45074</v>
      </c>
      <c r="B57" t="s">
        <v>44</v>
      </c>
      <c r="C57" t="s">
        <v>19</v>
      </c>
      <c r="D57">
        <v>1</v>
      </c>
      <c r="E57">
        <v>2</v>
      </c>
      <c r="F57">
        <v>1.2</v>
      </c>
      <c r="G57">
        <v>0.7</v>
      </c>
      <c r="H57">
        <v>50</v>
      </c>
      <c r="I57" s="2">
        <v>56169</v>
      </c>
    </row>
    <row r="58" spans="1:17" x14ac:dyDescent="0.25">
      <c r="A58" s="4">
        <v>45081</v>
      </c>
      <c r="B58" t="s">
        <v>43</v>
      </c>
      <c r="C58" t="s">
        <v>18</v>
      </c>
      <c r="D58">
        <v>2</v>
      </c>
      <c r="E58">
        <v>1</v>
      </c>
      <c r="F58">
        <v>1.8</v>
      </c>
      <c r="G58">
        <v>0.4</v>
      </c>
      <c r="H58">
        <v>55</v>
      </c>
      <c r="I58" s="2">
        <v>35065</v>
      </c>
      <c r="Q58" s="1"/>
    </row>
    <row r="61" spans="1:17" x14ac:dyDescent="0.25">
      <c r="A61" s="4" t="s">
        <v>280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2099-B79C-4105-90A0-FF7D1B1478E8}">
  <dimension ref="A1:Q63"/>
  <sheetViews>
    <sheetView topLeftCell="A30" workbookViewId="0">
      <selection activeCell="A8" sqref="A8:I60"/>
    </sheetView>
  </sheetViews>
  <sheetFormatPr defaultRowHeight="15" x14ac:dyDescent="0.25"/>
  <cols>
    <col min="1" max="1" width="11" style="4" customWidth="1"/>
  </cols>
  <sheetData>
    <row r="1" spans="1:17" x14ac:dyDescent="0.25">
      <c r="A1" s="4" t="s">
        <v>552</v>
      </c>
    </row>
    <row r="2" spans="1:17" x14ac:dyDescent="0.25">
      <c r="A2" s="4" t="s">
        <v>553</v>
      </c>
    </row>
    <row r="3" spans="1:17" x14ac:dyDescent="0.25">
      <c r="A3" s="4" t="s">
        <v>554</v>
      </c>
    </row>
    <row r="4" spans="1:17" x14ac:dyDescent="0.25">
      <c r="A4" s="4" t="s">
        <v>555</v>
      </c>
    </row>
    <row r="7" spans="1:17" x14ac:dyDescent="0.25">
      <c r="A7" s="4" t="s">
        <v>0</v>
      </c>
      <c r="B7" t="s">
        <v>53</v>
      </c>
      <c r="C7" t="s">
        <v>54</v>
      </c>
      <c r="D7" t="s">
        <v>20</v>
      </c>
      <c r="E7" t="s">
        <v>21</v>
      </c>
      <c r="F7" t="s">
        <v>55</v>
      </c>
      <c r="G7" t="s">
        <v>56</v>
      </c>
      <c r="H7" t="s">
        <v>57</v>
      </c>
      <c r="I7" t="s">
        <v>24</v>
      </c>
    </row>
    <row r="8" spans="1:17" x14ac:dyDescent="0.25">
      <c r="A8" s="4">
        <v>45150</v>
      </c>
      <c r="B8" t="s">
        <v>43</v>
      </c>
      <c r="C8" t="s">
        <v>4</v>
      </c>
      <c r="D8">
        <v>1</v>
      </c>
      <c r="E8">
        <v>1</v>
      </c>
      <c r="F8">
        <v>1</v>
      </c>
      <c r="G8">
        <v>0.8</v>
      </c>
      <c r="H8">
        <v>48</v>
      </c>
      <c r="I8" s="2">
        <v>30848</v>
      </c>
      <c r="P8" s="1"/>
    </row>
    <row r="9" spans="1:17" x14ac:dyDescent="0.25">
      <c r="A9" s="4">
        <v>45157</v>
      </c>
      <c r="B9" t="s">
        <v>43</v>
      </c>
      <c r="C9" t="s">
        <v>4</v>
      </c>
      <c r="D9">
        <v>1</v>
      </c>
      <c r="E9">
        <v>1</v>
      </c>
      <c r="F9">
        <v>0.7</v>
      </c>
      <c r="G9">
        <v>1</v>
      </c>
      <c r="H9">
        <v>53</v>
      </c>
      <c r="I9" s="2">
        <v>30354</v>
      </c>
      <c r="P9" s="1"/>
      <c r="Q9" s="1"/>
    </row>
    <row r="10" spans="1:17" x14ac:dyDescent="0.25">
      <c r="A10" s="4">
        <v>45163</v>
      </c>
      <c r="B10" t="s">
        <v>44</v>
      </c>
      <c r="C10" t="s">
        <v>4</v>
      </c>
      <c r="D10">
        <v>0</v>
      </c>
      <c r="E10">
        <v>0</v>
      </c>
      <c r="F10">
        <v>1</v>
      </c>
      <c r="G10">
        <v>0.9</v>
      </c>
      <c r="H10">
        <v>48</v>
      </c>
      <c r="I10" s="2">
        <v>25335</v>
      </c>
      <c r="Q10" s="1"/>
    </row>
    <row r="11" spans="1:17" x14ac:dyDescent="0.25">
      <c r="A11" s="4">
        <v>45171</v>
      </c>
      <c r="B11" t="s">
        <v>43</v>
      </c>
      <c r="C11" t="s">
        <v>18</v>
      </c>
      <c r="D11">
        <v>5</v>
      </c>
      <c r="E11">
        <v>3</v>
      </c>
      <c r="F11">
        <v>2.2999999999999998</v>
      </c>
      <c r="G11">
        <v>0.8</v>
      </c>
      <c r="H11">
        <v>61</v>
      </c>
      <c r="I11" s="2">
        <v>27808</v>
      </c>
      <c r="P11" s="1"/>
      <c r="Q11" s="1"/>
    </row>
    <row r="12" spans="1:17" x14ac:dyDescent="0.25">
      <c r="A12" s="4">
        <v>45186</v>
      </c>
      <c r="B12" t="s">
        <v>44</v>
      </c>
      <c r="C12" t="s">
        <v>19</v>
      </c>
      <c r="D12">
        <v>1</v>
      </c>
      <c r="E12">
        <v>2</v>
      </c>
      <c r="F12">
        <v>1.6</v>
      </c>
      <c r="G12">
        <v>2</v>
      </c>
      <c r="H12">
        <v>48</v>
      </c>
      <c r="I12" s="2">
        <v>70092</v>
      </c>
      <c r="P12" s="1"/>
    </row>
    <row r="13" spans="1:17" x14ac:dyDescent="0.25">
      <c r="A13" s="4">
        <v>45189</v>
      </c>
      <c r="B13" t="s">
        <v>43</v>
      </c>
      <c r="C13" t="s">
        <v>4</v>
      </c>
      <c r="D13">
        <v>1</v>
      </c>
      <c r="E13">
        <v>1</v>
      </c>
      <c r="F13">
        <v>1.3</v>
      </c>
      <c r="G13">
        <v>0.5</v>
      </c>
      <c r="H13">
        <v>44</v>
      </c>
      <c r="I13" s="2">
        <v>36591</v>
      </c>
      <c r="P13" s="1"/>
      <c r="Q13" s="1"/>
    </row>
    <row r="14" spans="1:17" x14ac:dyDescent="0.25">
      <c r="A14" s="4">
        <v>45193</v>
      </c>
      <c r="B14" t="s">
        <v>43</v>
      </c>
      <c r="C14" t="s">
        <v>18</v>
      </c>
      <c r="D14">
        <v>4</v>
      </c>
      <c r="E14">
        <v>3</v>
      </c>
      <c r="F14">
        <v>2</v>
      </c>
      <c r="G14">
        <v>1.4</v>
      </c>
      <c r="H14">
        <v>61</v>
      </c>
      <c r="I14" s="2">
        <v>29568</v>
      </c>
      <c r="P14" s="1"/>
    </row>
    <row r="15" spans="1:17" x14ac:dyDescent="0.25">
      <c r="A15" s="4">
        <v>45196</v>
      </c>
      <c r="B15" t="s">
        <v>44</v>
      </c>
      <c r="C15" t="s">
        <v>18</v>
      </c>
      <c r="D15">
        <v>1</v>
      </c>
      <c r="E15">
        <v>0</v>
      </c>
      <c r="F15">
        <v>0.2</v>
      </c>
      <c r="G15">
        <v>0.4</v>
      </c>
      <c r="H15">
        <v>62</v>
      </c>
      <c r="I15" s="2">
        <v>44200</v>
      </c>
      <c r="P15" s="1"/>
    </row>
    <row r="16" spans="1:17" x14ac:dyDescent="0.25">
      <c r="A16" s="4">
        <v>45199</v>
      </c>
      <c r="B16" t="s">
        <v>43</v>
      </c>
      <c r="C16" t="s">
        <v>18</v>
      </c>
      <c r="D16">
        <v>3</v>
      </c>
      <c r="E16">
        <v>0</v>
      </c>
      <c r="F16">
        <v>1.4</v>
      </c>
      <c r="G16">
        <v>1.8</v>
      </c>
      <c r="H16">
        <v>51</v>
      </c>
      <c r="I16" s="2">
        <v>38229</v>
      </c>
      <c r="P16" s="1"/>
    </row>
    <row r="17" spans="1:17" x14ac:dyDescent="0.25">
      <c r="A17" s="4">
        <v>45202</v>
      </c>
      <c r="B17" t="s">
        <v>44</v>
      </c>
      <c r="C17" t="s">
        <v>18</v>
      </c>
      <c r="D17">
        <v>2</v>
      </c>
      <c r="E17">
        <v>0</v>
      </c>
      <c r="F17">
        <v>1.2</v>
      </c>
      <c r="G17">
        <v>0.6</v>
      </c>
      <c r="H17">
        <v>52</v>
      </c>
      <c r="I17" s="2">
        <v>28227</v>
      </c>
      <c r="P17" s="1"/>
    </row>
    <row r="18" spans="1:17" x14ac:dyDescent="0.25">
      <c r="A18" s="4">
        <v>45207</v>
      </c>
      <c r="B18" t="s">
        <v>44</v>
      </c>
      <c r="C18" t="s">
        <v>19</v>
      </c>
      <c r="D18">
        <v>1</v>
      </c>
      <c r="E18">
        <v>2</v>
      </c>
      <c r="F18">
        <v>1.2</v>
      </c>
      <c r="G18">
        <v>2.2000000000000002</v>
      </c>
      <c r="H18">
        <v>62</v>
      </c>
      <c r="I18" s="2">
        <v>65607</v>
      </c>
      <c r="P18" s="1"/>
      <c r="Q18" s="1"/>
    </row>
    <row r="19" spans="1:17" x14ac:dyDescent="0.25">
      <c r="A19" s="4">
        <v>45220</v>
      </c>
      <c r="B19" t="s">
        <v>43</v>
      </c>
      <c r="C19" t="s">
        <v>18</v>
      </c>
      <c r="D19">
        <v>1</v>
      </c>
      <c r="E19">
        <v>0</v>
      </c>
      <c r="F19">
        <v>1.3</v>
      </c>
      <c r="G19">
        <v>1.9</v>
      </c>
      <c r="H19">
        <v>56</v>
      </c>
      <c r="I19" s="2">
        <v>31279</v>
      </c>
      <c r="P19" s="1"/>
      <c r="Q19" s="1"/>
    </row>
    <row r="20" spans="1:17" x14ac:dyDescent="0.25">
      <c r="A20" s="4">
        <v>45223</v>
      </c>
      <c r="B20" t="s">
        <v>44</v>
      </c>
      <c r="C20" t="s">
        <v>18</v>
      </c>
      <c r="D20">
        <v>1</v>
      </c>
      <c r="E20">
        <v>0</v>
      </c>
      <c r="F20">
        <v>0.9</v>
      </c>
      <c r="G20">
        <v>0.5</v>
      </c>
      <c r="H20">
        <v>62</v>
      </c>
      <c r="I20" s="2">
        <v>56002</v>
      </c>
      <c r="P20" s="1"/>
    </row>
    <row r="21" spans="1:17" x14ac:dyDescent="0.25">
      <c r="A21" s="4">
        <v>45228</v>
      </c>
      <c r="B21" t="s">
        <v>44</v>
      </c>
      <c r="C21" t="s">
        <v>4</v>
      </c>
      <c r="D21">
        <v>2</v>
      </c>
      <c r="E21">
        <v>2</v>
      </c>
      <c r="F21">
        <v>2</v>
      </c>
      <c r="G21">
        <v>1</v>
      </c>
      <c r="H21">
        <v>45</v>
      </c>
      <c r="I21" s="2">
        <v>12790</v>
      </c>
    </row>
    <row r="22" spans="1:17" x14ac:dyDescent="0.25">
      <c r="A22" s="4">
        <v>45231</v>
      </c>
      <c r="B22" t="s">
        <v>44</v>
      </c>
      <c r="C22" t="s">
        <v>18</v>
      </c>
      <c r="D22">
        <v>1</v>
      </c>
      <c r="E22">
        <v>0</v>
      </c>
      <c r="H22">
        <v>71</v>
      </c>
      <c r="I22" s="2">
        <v>4000</v>
      </c>
      <c r="P22" s="1"/>
      <c r="Q22" s="1"/>
    </row>
    <row r="23" spans="1:17" x14ac:dyDescent="0.25">
      <c r="A23" s="4">
        <v>45234</v>
      </c>
      <c r="B23" t="s">
        <v>43</v>
      </c>
      <c r="C23" t="s">
        <v>19</v>
      </c>
      <c r="D23">
        <v>0</v>
      </c>
      <c r="E23">
        <v>1</v>
      </c>
      <c r="F23">
        <v>0.9</v>
      </c>
      <c r="G23">
        <v>1.2</v>
      </c>
      <c r="H23">
        <v>51</v>
      </c>
      <c r="I23" s="2">
        <v>37555</v>
      </c>
      <c r="P23" s="1"/>
    </row>
    <row r="24" spans="1:17" x14ac:dyDescent="0.25">
      <c r="A24" s="4">
        <v>45238</v>
      </c>
      <c r="B24" t="s">
        <v>43</v>
      </c>
      <c r="C24" t="s">
        <v>18</v>
      </c>
      <c r="D24">
        <v>3</v>
      </c>
      <c r="E24">
        <v>1</v>
      </c>
      <c r="F24">
        <v>3.3</v>
      </c>
      <c r="G24">
        <v>0.8</v>
      </c>
      <c r="H24">
        <v>52</v>
      </c>
      <c r="I24" s="2">
        <v>36815</v>
      </c>
      <c r="P24" s="1"/>
      <c r="Q24" s="1"/>
    </row>
    <row r="25" spans="1:17" x14ac:dyDescent="0.25">
      <c r="A25" s="4">
        <v>45241</v>
      </c>
      <c r="B25" t="s">
        <v>44</v>
      </c>
      <c r="C25" t="s">
        <v>18</v>
      </c>
      <c r="D25">
        <v>3</v>
      </c>
      <c r="E25">
        <v>1</v>
      </c>
      <c r="F25">
        <v>2.4</v>
      </c>
      <c r="G25">
        <v>0.4</v>
      </c>
      <c r="H25">
        <v>53</v>
      </c>
      <c r="I25" s="2">
        <v>13016</v>
      </c>
    </row>
    <row r="26" spans="1:17" x14ac:dyDescent="0.25">
      <c r="A26" s="4">
        <v>45256</v>
      </c>
      <c r="B26" t="s">
        <v>43</v>
      </c>
      <c r="C26" t="s">
        <v>18</v>
      </c>
      <c r="D26">
        <v>2</v>
      </c>
      <c r="E26">
        <v>1</v>
      </c>
      <c r="F26">
        <v>0.7</v>
      </c>
      <c r="G26">
        <v>0.6</v>
      </c>
      <c r="H26">
        <v>49</v>
      </c>
      <c r="I26" s="2">
        <v>33879</v>
      </c>
      <c r="P26" s="1"/>
    </row>
    <row r="27" spans="1:17" x14ac:dyDescent="0.25">
      <c r="A27" s="4">
        <v>45259</v>
      </c>
      <c r="B27" t="s">
        <v>43</v>
      </c>
      <c r="C27" t="s">
        <v>4</v>
      </c>
      <c r="D27">
        <v>0</v>
      </c>
      <c r="E27">
        <v>0</v>
      </c>
      <c r="F27">
        <v>1.3</v>
      </c>
      <c r="G27">
        <v>0.6</v>
      </c>
      <c r="H27">
        <v>71</v>
      </c>
      <c r="I27" s="2">
        <v>34419</v>
      </c>
      <c r="P27" s="1"/>
    </row>
    <row r="28" spans="1:17" x14ac:dyDescent="0.25">
      <c r="A28" s="4">
        <v>45262</v>
      </c>
      <c r="B28" t="s">
        <v>44</v>
      </c>
      <c r="C28" t="s">
        <v>4</v>
      </c>
      <c r="D28">
        <v>1</v>
      </c>
      <c r="E28">
        <v>1</v>
      </c>
      <c r="F28">
        <v>1.7</v>
      </c>
      <c r="G28">
        <v>0.7</v>
      </c>
      <c r="H28">
        <v>71</v>
      </c>
      <c r="I28" s="2">
        <v>20859</v>
      </c>
      <c r="P28" s="1"/>
      <c r="Q28" s="1"/>
    </row>
    <row r="29" spans="1:17" x14ac:dyDescent="0.25">
      <c r="A29" s="4">
        <v>45266</v>
      </c>
      <c r="B29" t="s">
        <v>44</v>
      </c>
      <c r="C29" t="s">
        <v>18</v>
      </c>
      <c r="D29">
        <v>1</v>
      </c>
      <c r="E29">
        <v>0</v>
      </c>
      <c r="H29">
        <v>71</v>
      </c>
      <c r="I29" s="2">
        <v>1233</v>
      </c>
      <c r="P29" s="1"/>
      <c r="Q29" s="1"/>
    </row>
    <row r="30" spans="1:17" x14ac:dyDescent="0.25">
      <c r="A30" s="4">
        <v>45269</v>
      </c>
      <c r="B30" t="s">
        <v>44</v>
      </c>
      <c r="C30" t="s">
        <v>18</v>
      </c>
      <c r="D30">
        <v>3</v>
      </c>
      <c r="E30">
        <v>0</v>
      </c>
      <c r="F30">
        <v>1.5</v>
      </c>
      <c r="G30">
        <v>2.2000000000000002</v>
      </c>
      <c r="H30">
        <v>47</v>
      </c>
      <c r="I30" s="2">
        <v>19344</v>
      </c>
      <c r="Q30" s="1"/>
    </row>
    <row r="31" spans="1:17" x14ac:dyDescent="0.25">
      <c r="A31" s="4">
        <v>45272</v>
      </c>
      <c r="B31" t="s">
        <v>44</v>
      </c>
      <c r="C31" t="s">
        <v>4</v>
      </c>
      <c r="D31">
        <v>0</v>
      </c>
      <c r="E31">
        <v>0</v>
      </c>
      <c r="F31">
        <v>0.7</v>
      </c>
      <c r="G31">
        <v>0.7</v>
      </c>
      <c r="H31">
        <v>55</v>
      </c>
      <c r="I31" s="2">
        <v>69010</v>
      </c>
      <c r="Q31" s="1"/>
    </row>
    <row r="32" spans="1:17" x14ac:dyDescent="0.25">
      <c r="A32" s="4">
        <v>45277</v>
      </c>
      <c r="B32" t="s">
        <v>43</v>
      </c>
      <c r="C32" t="s">
        <v>4</v>
      </c>
      <c r="D32">
        <v>0</v>
      </c>
      <c r="E32">
        <v>0</v>
      </c>
      <c r="F32">
        <v>1.1000000000000001</v>
      </c>
      <c r="G32">
        <v>1.1000000000000001</v>
      </c>
      <c r="H32">
        <v>57</v>
      </c>
      <c r="I32" s="2">
        <v>33172</v>
      </c>
      <c r="P32" s="1"/>
    </row>
    <row r="33" spans="1:17" x14ac:dyDescent="0.25">
      <c r="A33" s="4">
        <v>45281</v>
      </c>
      <c r="B33" t="s">
        <v>44</v>
      </c>
      <c r="C33" t="s">
        <v>4</v>
      </c>
      <c r="D33">
        <v>0</v>
      </c>
      <c r="E33">
        <v>0</v>
      </c>
      <c r="F33">
        <v>0.5</v>
      </c>
      <c r="G33">
        <v>1</v>
      </c>
      <c r="H33">
        <v>60</v>
      </c>
      <c r="I33" s="2">
        <v>17693</v>
      </c>
      <c r="Q33" s="1"/>
    </row>
    <row r="34" spans="1:17" x14ac:dyDescent="0.25">
      <c r="A34" s="4">
        <v>45293</v>
      </c>
      <c r="B34" t="s">
        <v>43</v>
      </c>
      <c r="C34" t="s">
        <v>4</v>
      </c>
      <c r="D34">
        <v>1</v>
      </c>
      <c r="E34">
        <v>1</v>
      </c>
      <c r="F34">
        <v>1.2</v>
      </c>
      <c r="G34">
        <v>1</v>
      </c>
      <c r="H34">
        <v>53</v>
      </c>
      <c r="I34" s="2">
        <v>34051</v>
      </c>
      <c r="P34" s="1"/>
    </row>
    <row r="35" spans="1:17" x14ac:dyDescent="0.25">
      <c r="A35" s="4">
        <v>45298</v>
      </c>
      <c r="B35" t="s">
        <v>44</v>
      </c>
      <c r="C35" t="s">
        <v>18</v>
      </c>
      <c r="D35">
        <v>1</v>
      </c>
      <c r="E35">
        <v>0</v>
      </c>
      <c r="H35">
        <v>61</v>
      </c>
      <c r="I35" s="2">
        <v>22111</v>
      </c>
      <c r="P35" s="1"/>
    </row>
    <row r="36" spans="1:17" x14ac:dyDescent="0.25">
      <c r="A36" s="4">
        <v>45304</v>
      </c>
      <c r="B36" t="s">
        <v>44</v>
      </c>
      <c r="C36" t="s">
        <v>19</v>
      </c>
      <c r="D36">
        <v>1</v>
      </c>
      <c r="E36">
        <v>2</v>
      </c>
      <c r="F36">
        <v>1.1000000000000001</v>
      </c>
      <c r="G36">
        <v>1.6</v>
      </c>
      <c r="H36">
        <v>51</v>
      </c>
      <c r="I36" s="2">
        <v>51475</v>
      </c>
    </row>
    <row r="37" spans="1:17" x14ac:dyDescent="0.25">
      <c r="A37" s="4">
        <v>45308</v>
      </c>
      <c r="B37" t="s">
        <v>44</v>
      </c>
      <c r="C37" t="s">
        <v>18</v>
      </c>
      <c r="D37">
        <v>2</v>
      </c>
      <c r="E37">
        <v>0</v>
      </c>
      <c r="H37">
        <v>58</v>
      </c>
      <c r="I37" s="2">
        <v>21116</v>
      </c>
      <c r="P37" s="1"/>
      <c r="Q37" s="1"/>
    </row>
    <row r="38" spans="1:17" x14ac:dyDescent="0.25">
      <c r="A38" s="4">
        <v>45311</v>
      </c>
      <c r="B38" t="s">
        <v>44</v>
      </c>
      <c r="C38" t="s">
        <v>18</v>
      </c>
      <c r="D38">
        <v>1</v>
      </c>
      <c r="E38">
        <v>0</v>
      </c>
      <c r="F38">
        <v>0.8</v>
      </c>
      <c r="G38">
        <v>0.3</v>
      </c>
      <c r="H38">
        <v>51</v>
      </c>
      <c r="I38" s="2">
        <v>20901</v>
      </c>
    </row>
    <row r="39" spans="1:17" x14ac:dyDescent="0.25">
      <c r="A39" s="4">
        <v>45314</v>
      </c>
      <c r="B39" t="s">
        <v>44</v>
      </c>
      <c r="C39" t="s">
        <v>18</v>
      </c>
      <c r="D39">
        <v>2</v>
      </c>
      <c r="E39">
        <v>1</v>
      </c>
      <c r="H39">
        <v>54</v>
      </c>
      <c r="I39" s="2">
        <v>20903</v>
      </c>
      <c r="P39" s="1"/>
      <c r="Q39" s="1"/>
    </row>
    <row r="40" spans="1:17" x14ac:dyDescent="0.25">
      <c r="A40" s="4">
        <v>45318</v>
      </c>
      <c r="B40" t="s">
        <v>43</v>
      </c>
      <c r="C40" t="s">
        <v>4</v>
      </c>
      <c r="D40">
        <v>0</v>
      </c>
      <c r="E40">
        <v>0</v>
      </c>
      <c r="F40">
        <v>0.2</v>
      </c>
      <c r="G40">
        <v>0.1</v>
      </c>
      <c r="H40">
        <v>51</v>
      </c>
      <c r="I40" s="2">
        <v>32528</v>
      </c>
    </row>
    <row r="41" spans="1:17" x14ac:dyDescent="0.25">
      <c r="A41" s="4">
        <v>45325</v>
      </c>
      <c r="B41" t="s">
        <v>44</v>
      </c>
      <c r="C41" t="s">
        <v>4</v>
      </c>
      <c r="D41">
        <v>0</v>
      </c>
      <c r="E41">
        <v>0</v>
      </c>
      <c r="F41">
        <v>0.6</v>
      </c>
      <c r="G41">
        <v>0.7</v>
      </c>
      <c r="H41">
        <v>51</v>
      </c>
      <c r="I41" s="2">
        <v>13755</v>
      </c>
      <c r="P41" s="1"/>
      <c r="Q41" s="1"/>
    </row>
    <row r="42" spans="1:17" x14ac:dyDescent="0.25">
      <c r="A42" s="4">
        <v>45328</v>
      </c>
      <c r="B42" t="s">
        <v>44</v>
      </c>
      <c r="C42" t="s">
        <v>4</v>
      </c>
      <c r="D42">
        <v>0</v>
      </c>
      <c r="E42">
        <v>0</v>
      </c>
      <c r="H42">
        <v>69</v>
      </c>
      <c r="I42" s="2">
        <v>22051</v>
      </c>
    </row>
    <row r="43" spans="1:17" x14ac:dyDescent="0.25">
      <c r="A43" s="4">
        <v>45332</v>
      </c>
      <c r="B43" t="s">
        <v>43</v>
      </c>
      <c r="C43" t="s">
        <v>19</v>
      </c>
      <c r="D43">
        <v>0</v>
      </c>
      <c r="E43">
        <v>1</v>
      </c>
      <c r="F43">
        <v>1.5</v>
      </c>
      <c r="G43">
        <v>0.5</v>
      </c>
      <c r="H43">
        <v>68</v>
      </c>
      <c r="I43" s="2">
        <v>32905</v>
      </c>
      <c r="P43" s="1"/>
      <c r="Q43" s="1"/>
    </row>
    <row r="44" spans="1:17" x14ac:dyDescent="0.25">
      <c r="A44" s="4">
        <v>45336</v>
      </c>
      <c r="B44" t="s">
        <v>44</v>
      </c>
      <c r="C44" t="s">
        <v>19</v>
      </c>
      <c r="D44">
        <v>0</v>
      </c>
      <c r="E44">
        <v>2</v>
      </c>
      <c r="F44">
        <v>0.7</v>
      </c>
      <c r="G44">
        <v>1.2</v>
      </c>
      <c r="H44">
        <v>38</v>
      </c>
      <c r="I44" s="2">
        <v>46435</v>
      </c>
      <c r="P44" s="1"/>
      <c r="Q44" s="1"/>
    </row>
    <row r="45" spans="1:17" x14ac:dyDescent="0.25">
      <c r="A45" s="4">
        <v>45340</v>
      </c>
      <c r="B45" t="s">
        <v>44</v>
      </c>
      <c r="C45" t="s">
        <v>18</v>
      </c>
      <c r="D45">
        <v>2</v>
      </c>
      <c r="E45">
        <v>1</v>
      </c>
      <c r="F45">
        <v>1.1000000000000001</v>
      </c>
      <c r="G45">
        <v>0.1</v>
      </c>
      <c r="H45">
        <v>67</v>
      </c>
      <c r="I45" s="2">
        <v>18153</v>
      </c>
      <c r="P45" s="1"/>
      <c r="Q45" s="1"/>
    </row>
    <row r="46" spans="1:17" x14ac:dyDescent="0.25">
      <c r="A46" s="4">
        <v>45345</v>
      </c>
      <c r="B46" t="s">
        <v>43</v>
      </c>
      <c r="C46" t="s">
        <v>19</v>
      </c>
      <c r="D46">
        <v>1</v>
      </c>
      <c r="E46">
        <v>3</v>
      </c>
      <c r="F46">
        <v>1.5</v>
      </c>
      <c r="G46">
        <v>1</v>
      </c>
      <c r="H46">
        <v>70</v>
      </c>
      <c r="I46" s="2">
        <v>30609</v>
      </c>
      <c r="P46" s="1"/>
      <c r="Q46" s="1"/>
    </row>
    <row r="47" spans="1:17" x14ac:dyDescent="0.25">
      <c r="A47" s="4">
        <v>45349</v>
      </c>
      <c r="B47" t="s">
        <v>43</v>
      </c>
      <c r="C47" t="s">
        <v>4</v>
      </c>
      <c r="D47" t="s">
        <v>278</v>
      </c>
      <c r="E47" t="s">
        <v>257</v>
      </c>
      <c r="H47">
        <v>62</v>
      </c>
      <c r="I47" s="2">
        <v>35781</v>
      </c>
      <c r="Q47" s="1"/>
    </row>
    <row r="48" spans="1:17" x14ac:dyDescent="0.25">
      <c r="A48" s="4">
        <v>45353</v>
      </c>
      <c r="B48" t="s">
        <v>44</v>
      </c>
      <c r="C48" t="s">
        <v>19</v>
      </c>
      <c r="D48">
        <v>2</v>
      </c>
      <c r="E48">
        <v>3</v>
      </c>
      <c r="F48">
        <v>1.5</v>
      </c>
      <c r="G48">
        <v>2</v>
      </c>
      <c r="H48">
        <v>61</v>
      </c>
      <c r="I48" s="2">
        <v>35884</v>
      </c>
      <c r="P48" s="1"/>
      <c r="Q48" s="1"/>
    </row>
    <row r="49" spans="1:17" x14ac:dyDescent="0.25">
      <c r="A49" s="4">
        <v>45356</v>
      </c>
      <c r="B49" t="s">
        <v>43</v>
      </c>
      <c r="C49" t="s">
        <v>19</v>
      </c>
      <c r="D49">
        <v>1</v>
      </c>
      <c r="E49">
        <v>2</v>
      </c>
      <c r="F49">
        <v>0.9</v>
      </c>
      <c r="G49">
        <v>1.4</v>
      </c>
      <c r="H49">
        <v>44</v>
      </c>
      <c r="I49" s="2">
        <v>39336</v>
      </c>
      <c r="Q49" s="1"/>
    </row>
    <row r="50" spans="1:17" x14ac:dyDescent="0.25">
      <c r="A50" s="4">
        <v>45360</v>
      </c>
      <c r="B50" t="s">
        <v>44</v>
      </c>
      <c r="C50" t="s">
        <v>18</v>
      </c>
      <c r="D50">
        <v>3</v>
      </c>
      <c r="E50">
        <v>2</v>
      </c>
      <c r="F50">
        <v>2.1</v>
      </c>
      <c r="G50">
        <v>1.7</v>
      </c>
      <c r="H50">
        <v>63</v>
      </c>
      <c r="I50" s="2">
        <v>9214</v>
      </c>
      <c r="P50" s="1"/>
    </row>
    <row r="51" spans="1:17" x14ac:dyDescent="0.25">
      <c r="A51" s="4">
        <v>45366</v>
      </c>
      <c r="B51" t="s">
        <v>43</v>
      </c>
      <c r="C51" t="s">
        <v>18</v>
      </c>
      <c r="D51">
        <v>2</v>
      </c>
      <c r="E51">
        <v>0</v>
      </c>
      <c r="F51">
        <v>1.9</v>
      </c>
      <c r="G51">
        <v>0.8</v>
      </c>
      <c r="H51">
        <v>63</v>
      </c>
      <c r="I51" s="2">
        <v>31000</v>
      </c>
      <c r="Q51" s="1"/>
    </row>
    <row r="52" spans="1:17" x14ac:dyDescent="0.25">
      <c r="A52" s="4">
        <v>45382</v>
      </c>
      <c r="B52" t="s">
        <v>44</v>
      </c>
      <c r="C52" t="s">
        <v>18</v>
      </c>
      <c r="D52">
        <v>1</v>
      </c>
      <c r="E52">
        <v>0</v>
      </c>
      <c r="F52">
        <v>0.9</v>
      </c>
      <c r="G52">
        <v>0.3</v>
      </c>
      <c r="H52">
        <v>59</v>
      </c>
      <c r="I52" s="2">
        <v>18575</v>
      </c>
      <c r="P52" s="1"/>
      <c r="Q52" s="1"/>
    </row>
    <row r="53" spans="1:17" x14ac:dyDescent="0.25">
      <c r="A53" s="4">
        <v>45396</v>
      </c>
      <c r="B53" t="s">
        <v>43</v>
      </c>
      <c r="C53" t="s">
        <v>4</v>
      </c>
      <c r="D53">
        <v>2</v>
      </c>
      <c r="E53">
        <v>2</v>
      </c>
      <c r="F53">
        <v>1.5</v>
      </c>
      <c r="G53">
        <v>1.6</v>
      </c>
      <c r="H53">
        <v>50</v>
      </c>
      <c r="I53" s="2">
        <v>26520</v>
      </c>
      <c r="P53" s="1"/>
    </row>
    <row r="54" spans="1:17" x14ac:dyDescent="0.25">
      <c r="A54" s="4">
        <v>45403</v>
      </c>
      <c r="B54" t="s">
        <v>44</v>
      </c>
      <c r="C54" t="s">
        <v>4</v>
      </c>
      <c r="D54">
        <v>1</v>
      </c>
      <c r="E54">
        <v>1</v>
      </c>
      <c r="F54">
        <v>1.2</v>
      </c>
      <c r="G54">
        <v>0.5</v>
      </c>
      <c r="H54">
        <v>59</v>
      </c>
      <c r="I54" s="2">
        <v>12228</v>
      </c>
      <c r="P54" s="1"/>
    </row>
    <row r="55" spans="1:17" x14ac:dyDescent="0.25">
      <c r="A55" s="4">
        <v>45408</v>
      </c>
      <c r="B55" t="s">
        <v>43</v>
      </c>
      <c r="C55" t="s">
        <v>19</v>
      </c>
      <c r="D55">
        <v>0</v>
      </c>
      <c r="E55">
        <v>1</v>
      </c>
      <c r="F55">
        <v>0.6</v>
      </c>
      <c r="G55">
        <v>0.4</v>
      </c>
      <c r="H55">
        <v>56</v>
      </c>
      <c r="I55" s="2">
        <v>37109</v>
      </c>
      <c r="P55" s="1"/>
    </row>
    <row r="56" spans="1:17" x14ac:dyDescent="0.25">
      <c r="A56" s="4">
        <v>45416</v>
      </c>
      <c r="B56" t="s">
        <v>43</v>
      </c>
      <c r="C56" t="s">
        <v>18</v>
      </c>
      <c r="D56">
        <v>2</v>
      </c>
      <c r="E56">
        <v>0</v>
      </c>
      <c r="F56">
        <v>0.6</v>
      </c>
      <c r="G56">
        <v>0.5</v>
      </c>
      <c r="H56">
        <v>52</v>
      </c>
      <c r="I56" s="2">
        <v>29330</v>
      </c>
    </row>
    <row r="57" spans="1:17" x14ac:dyDescent="0.25">
      <c r="A57" s="4">
        <v>45425</v>
      </c>
      <c r="B57" t="s">
        <v>44</v>
      </c>
      <c r="C57" t="s">
        <v>19</v>
      </c>
      <c r="D57">
        <v>0</v>
      </c>
      <c r="E57">
        <v>2</v>
      </c>
      <c r="F57">
        <v>0.7</v>
      </c>
      <c r="G57">
        <v>2.1</v>
      </c>
      <c r="H57">
        <v>44</v>
      </c>
      <c r="I57" s="2">
        <v>35829</v>
      </c>
      <c r="Q57" s="1"/>
    </row>
    <row r="58" spans="1:17" x14ac:dyDescent="0.25">
      <c r="A58" s="4">
        <v>45428</v>
      </c>
      <c r="B58" t="s">
        <v>43</v>
      </c>
      <c r="C58" t="s">
        <v>18</v>
      </c>
      <c r="D58">
        <v>1</v>
      </c>
      <c r="E58">
        <v>0</v>
      </c>
      <c r="F58">
        <v>1.3</v>
      </c>
      <c r="G58">
        <v>0.8</v>
      </c>
      <c r="H58">
        <v>57</v>
      </c>
      <c r="I58" s="2">
        <v>25067</v>
      </c>
      <c r="P58" s="1"/>
      <c r="Q58" s="1"/>
    </row>
    <row r="59" spans="1:17" x14ac:dyDescent="0.25">
      <c r="A59" s="4">
        <v>45431</v>
      </c>
      <c r="B59" t="s">
        <v>44</v>
      </c>
      <c r="C59" t="s">
        <v>18</v>
      </c>
      <c r="D59">
        <v>2</v>
      </c>
      <c r="E59">
        <v>0</v>
      </c>
      <c r="F59">
        <v>0.4</v>
      </c>
      <c r="G59">
        <v>1.7</v>
      </c>
      <c r="H59">
        <v>33</v>
      </c>
      <c r="I59" s="2">
        <v>58036</v>
      </c>
      <c r="P59" s="1"/>
      <c r="Q59" s="1"/>
    </row>
    <row r="60" spans="1:17" x14ac:dyDescent="0.25">
      <c r="A60" s="4">
        <v>45437</v>
      </c>
      <c r="B60" t="s">
        <v>43</v>
      </c>
      <c r="C60" t="s">
        <v>19</v>
      </c>
      <c r="D60">
        <v>0</v>
      </c>
      <c r="E60">
        <v>2</v>
      </c>
      <c r="F60">
        <v>0.6</v>
      </c>
      <c r="G60">
        <v>2.2000000000000002</v>
      </c>
      <c r="H60">
        <v>59</v>
      </c>
      <c r="I60" s="2">
        <v>30678</v>
      </c>
      <c r="P60" s="1"/>
    </row>
    <row r="61" spans="1:17" x14ac:dyDescent="0.25">
      <c r="P61" s="1"/>
      <c r="Q61" s="1"/>
    </row>
    <row r="63" spans="1:17" x14ac:dyDescent="0.25">
      <c r="A63" s="4" t="s">
        <v>291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E36-0DFF-4C37-A1AF-931AE589C7D3}">
  <dimension ref="A1:Q29"/>
  <sheetViews>
    <sheetView workbookViewId="0">
      <selection activeCell="A9" sqref="A9:I28"/>
    </sheetView>
  </sheetViews>
  <sheetFormatPr defaultRowHeight="15" x14ac:dyDescent="0.25"/>
  <cols>
    <col min="1" max="1" width="11.28515625" style="4" customWidth="1"/>
  </cols>
  <sheetData>
    <row r="1" spans="1:17" x14ac:dyDescent="0.25">
      <c r="A1" s="4" t="s">
        <v>556</v>
      </c>
    </row>
    <row r="2" spans="1:17" x14ac:dyDescent="0.25">
      <c r="A2" s="4" t="s">
        <v>557</v>
      </c>
    </row>
    <row r="3" spans="1:17" x14ac:dyDescent="0.25">
      <c r="A3" s="4" t="s">
        <v>558</v>
      </c>
    </row>
    <row r="4" spans="1:17" x14ac:dyDescent="0.25">
      <c r="A4" s="4" t="s">
        <v>559</v>
      </c>
    </row>
    <row r="8" spans="1:17" x14ac:dyDescent="0.25">
      <c r="A8" s="4" t="s">
        <v>0</v>
      </c>
      <c r="B8" t="s">
        <v>53</v>
      </c>
      <c r="C8" t="s">
        <v>54</v>
      </c>
      <c r="D8" t="s">
        <v>20</v>
      </c>
      <c r="E8" t="s">
        <v>21</v>
      </c>
      <c r="F8" t="s">
        <v>55</v>
      </c>
      <c r="G8" t="s">
        <v>56</v>
      </c>
      <c r="H8" t="s">
        <v>57</v>
      </c>
      <c r="I8" t="s">
        <v>24</v>
      </c>
    </row>
    <row r="9" spans="1:17" x14ac:dyDescent="0.25">
      <c r="A9" s="4">
        <v>45522</v>
      </c>
      <c r="B9" t="s">
        <v>43</v>
      </c>
      <c r="C9" t="s">
        <v>19</v>
      </c>
      <c r="D9">
        <v>1</v>
      </c>
      <c r="E9">
        <v>2</v>
      </c>
      <c r="F9">
        <v>1.1000000000000001</v>
      </c>
      <c r="G9">
        <v>1.1000000000000001</v>
      </c>
      <c r="H9">
        <v>66</v>
      </c>
      <c r="I9" s="2">
        <v>31763</v>
      </c>
      <c r="P9" s="1"/>
      <c r="Q9" s="1"/>
    </row>
    <row r="10" spans="1:17" x14ac:dyDescent="0.25">
      <c r="A10" s="4">
        <v>45528</v>
      </c>
      <c r="B10" t="s">
        <v>44</v>
      </c>
      <c r="C10" t="s">
        <v>18</v>
      </c>
      <c r="D10">
        <v>1</v>
      </c>
      <c r="E10">
        <v>0</v>
      </c>
      <c r="F10">
        <v>0.7</v>
      </c>
      <c r="G10">
        <v>1.6</v>
      </c>
      <c r="H10">
        <v>66</v>
      </c>
      <c r="I10" s="2">
        <v>20900</v>
      </c>
      <c r="Q10" s="1"/>
    </row>
    <row r="11" spans="1:17" x14ac:dyDescent="0.25">
      <c r="A11" s="4">
        <v>45532</v>
      </c>
      <c r="B11" t="s">
        <v>43</v>
      </c>
      <c r="C11" t="s">
        <v>19</v>
      </c>
      <c r="D11">
        <v>1</v>
      </c>
      <c r="E11">
        <v>2</v>
      </c>
      <c r="F11">
        <v>1</v>
      </c>
      <c r="G11">
        <v>1.6</v>
      </c>
      <c r="H11">
        <v>53</v>
      </c>
      <c r="I11" s="2">
        <v>32220</v>
      </c>
      <c r="P11" s="1"/>
    </row>
    <row r="12" spans="1:17" x14ac:dyDescent="0.25">
      <c r="A12" s="4">
        <v>45536</v>
      </c>
      <c r="B12" t="s">
        <v>44</v>
      </c>
      <c r="C12" t="s">
        <v>4</v>
      </c>
      <c r="D12">
        <v>0</v>
      </c>
      <c r="E12">
        <v>0</v>
      </c>
      <c r="F12">
        <v>0</v>
      </c>
      <c r="G12">
        <v>0.6</v>
      </c>
      <c r="H12">
        <v>47</v>
      </c>
      <c r="I12" s="2">
        <v>10929</v>
      </c>
    </row>
    <row r="13" spans="1:17" x14ac:dyDescent="0.25">
      <c r="A13" s="4">
        <v>45549</v>
      </c>
      <c r="B13" t="s">
        <v>43</v>
      </c>
      <c r="C13" t="s">
        <v>19</v>
      </c>
      <c r="D13">
        <v>0</v>
      </c>
      <c r="E13">
        <v>2</v>
      </c>
      <c r="F13">
        <v>1.1000000000000001</v>
      </c>
      <c r="G13">
        <v>2.2999999999999998</v>
      </c>
      <c r="H13">
        <v>48</v>
      </c>
      <c r="I13" s="2">
        <v>37370</v>
      </c>
      <c r="P13" s="1"/>
    </row>
    <row r="14" spans="1:17" x14ac:dyDescent="0.25">
      <c r="A14" s="4">
        <v>45552</v>
      </c>
      <c r="B14" t="s">
        <v>44</v>
      </c>
      <c r="C14" t="s">
        <v>19</v>
      </c>
      <c r="D14">
        <v>0</v>
      </c>
      <c r="E14">
        <v>1</v>
      </c>
      <c r="F14">
        <v>0.6</v>
      </c>
      <c r="G14">
        <v>1.2</v>
      </c>
      <c r="H14">
        <v>60</v>
      </c>
      <c r="I14" s="2">
        <v>17132</v>
      </c>
    </row>
    <row r="15" spans="1:17" x14ac:dyDescent="0.25">
      <c r="A15" s="4">
        <v>45556</v>
      </c>
      <c r="B15" t="s">
        <v>44</v>
      </c>
      <c r="C15" t="s">
        <v>4</v>
      </c>
      <c r="D15">
        <v>0</v>
      </c>
      <c r="E15">
        <v>0</v>
      </c>
      <c r="F15">
        <v>1.4</v>
      </c>
      <c r="G15">
        <v>1</v>
      </c>
      <c r="H15">
        <v>64</v>
      </c>
      <c r="I15" s="2">
        <v>21171</v>
      </c>
    </row>
    <row r="16" spans="1:17" x14ac:dyDescent="0.25">
      <c r="A16" s="4">
        <v>45560</v>
      </c>
      <c r="B16" t="s">
        <v>44</v>
      </c>
      <c r="C16" t="s">
        <v>4</v>
      </c>
      <c r="D16">
        <v>1</v>
      </c>
      <c r="E16">
        <v>1</v>
      </c>
      <c r="F16">
        <v>0.7</v>
      </c>
      <c r="G16">
        <v>1.3</v>
      </c>
      <c r="H16">
        <v>45</v>
      </c>
      <c r="I16" s="2">
        <v>20545</v>
      </c>
      <c r="P16" s="1"/>
      <c r="Q16" s="1"/>
    </row>
    <row r="17" spans="1:17" x14ac:dyDescent="0.25">
      <c r="A17" s="4">
        <v>45563</v>
      </c>
      <c r="B17" t="s">
        <v>43</v>
      </c>
      <c r="C17" t="s">
        <v>18</v>
      </c>
      <c r="D17">
        <v>3</v>
      </c>
      <c r="E17">
        <v>0</v>
      </c>
      <c r="F17">
        <v>3.4</v>
      </c>
      <c r="G17">
        <v>0.8</v>
      </c>
      <c r="H17">
        <v>61</v>
      </c>
      <c r="I17" s="2">
        <v>32332</v>
      </c>
      <c r="Q17" s="1"/>
    </row>
    <row r="18" spans="1:17" x14ac:dyDescent="0.25">
      <c r="A18" s="4">
        <v>45568</v>
      </c>
      <c r="B18" t="s">
        <v>43</v>
      </c>
      <c r="C18" t="s">
        <v>19</v>
      </c>
      <c r="D18">
        <v>1</v>
      </c>
      <c r="E18">
        <v>2</v>
      </c>
      <c r="F18">
        <v>1.2</v>
      </c>
      <c r="G18">
        <v>0.9</v>
      </c>
      <c r="H18">
        <v>57</v>
      </c>
      <c r="I18" s="2">
        <v>30985</v>
      </c>
      <c r="P18" s="1"/>
    </row>
    <row r="19" spans="1:17" x14ac:dyDescent="0.25">
      <c r="A19" s="4">
        <v>45571</v>
      </c>
      <c r="B19" t="s">
        <v>43</v>
      </c>
      <c r="C19" t="s">
        <v>4</v>
      </c>
      <c r="D19">
        <v>1</v>
      </c>
      <c r="E19">
        <v>1</v>
      </c>
      <c r="F19">
        <v>1</v>
      </c>
      <c r="G19">
        <v>0.5</v>
      </c>
      <c r="H19">
        <v>66</v>
      </c>
      <c r="I19" s="2">
        <v>31983</v>
      </c>
      <c r="Q19" s="1"/>
    </row>
    <row r="20" spans="1:17" x14ac:dyDescent="0.25">
      <c r="A20" s="4">
        <v>45584</v>
      </c>
      <c r="B20" t="s">
        <v>44</v>
      </c>
      <c r="C20" t="s">
        <v>18</v>
      </c>
      <c r="D20">
        <v>1</v>
      </c>
      <c r="E20">
        <v>0</v>
      </c>
      <c r="F20">
        <v>1.7</v>
      </c>
      <c r="G20">
        <v>0.4</v>
      </c>
      <c r="H20">
        <v>53</v>
      </c>
      <c r="I20" s="2">
        <v>12602</v>
      </c>
    </row>
    <row r="21" spans="1:17" x14ac:dyDescent="0.25">
      <c r="A21" s="4">
        <v>45589</v>
      </c>
      <c r="B21" t="s">
        <v>44</v>
      </c>
      <c r="C21" t="s">
        <v>18</v>
      </c>
      <c r="D21">
        <v>2</v>
      </c>
      <c r="E21">
        <v>1</v>
      </c>
      <c r="F21">
        <v>1.3</v>
      </c>
      <c r="G21">
        <v>0.5</v>
      </c>
      <c r="H21">
        <v>63</v>
      </c>
    </row>
    <row r="22" spans="1:17" x14ac:dyDescent="0.25">
      <c r="A22" s="4">
        <v>45592</v>
      </c>
      <c r="B22" t="s">
        <v>43</v>
      </c>
      <c r="C22" t="s">
        <v>19</v>
      </c>
      <c r="D22">
        <v>0</v>
      </c>
      <c r="E22">
        <v>2</v>
      </c>
      <c r="F22">
        <v>1.6</v>
      </c>
      <c r="G22">
        <v>1</v>
      </c>
      <c r="H22">
        <v>74</v>
      </c>
      <c r="I22" s="2">
        <v>31729</v>
      </c>
      <c r="Q22" s="1"/>
    </row>
    <row r="23" spans="1:17" x14ac:dyDescent="0.25">
      <c r="A23" s="4">
        <v>45599</v>
      </c>
      <c r="B23" t="s">
        <v>44</v>
      </c>
      <c r="C23" t="s">
        <v>18</v>
      </c>
      <c r="D23">
        <v>2</v>
      </c>
      <c r="E23">
        <v>0</v>
      </c>
      <c r="F23">
        <v>1.4</v>
      </c>
      <c r="G23">
        <v>1.1000000000000001</v>
      </c>
      <c r="H23">
        <v>45</v>
      </c>
      <c r="I23" s="2">
        <v>37619</v>
      </c>
    </row>
    <row r="24" spans="1:17" x14ac:dyDescent="0.25">
      <c r="A24" s="4">
        <v>45603</v>
      </c>
      <c r="B24" t="s">
        <v>44</v>
      </c>
      <c r="C24" t="s">
        <v>19</v>
      </c>
      <c r="D24">
        <v>1</v>
      </c>
      <c r="E24">
        <v>2</v>
      </c>
      <c r="F24">
        <v>1.9</v>
      </c>
      <c r="G24">
        <v>0.5</v>
      </c>
      <c r="H24">
        <v>70</v>
      </c>
      <c r="I24" s="2">
        <v>11130</v>
      </c>
      <c r="Q24" s="1"/>
    </row>
    <row r="25" spans="1:17" x14ac:dyDescent="0.25">
      <c r="A25" s="4">
        <v>45606</v>
      </c>
      <c r="B25" t="s">
        <v>43</v>
      </c>
      <c r="C25" t="s">
        <v>18</v>
      </c>
      <c r="D25">
        <v>1</v>
      </c>
      <c r="E25">
        <v>0</v>
      </c>
      <c r="F25">
        <v>2</v>
      </c>
      <c r="G25">
        <v>0.7</v>
      </c>
      <c r="H25">
        <v>31</v>
      </c>
      <c r="I25" s="2">
        <v>36194</v>
      </c>
    </row>
    <row r="26" spans="1:17" x14ac:dyDescent="0.25">
      <c r="A26" s="4">
        <v>45617</v>
      </c>
      <c r="B26" t="s">
        <v>44</v>
      </c>
      <c r="C26" t="s">
        <v>18</v>
      </c>
      <c r="D26">
        <v>5</v>
      </c>
      <c r="E26">
        <v>0</v>
      </c>
      <c r="H26">
        <v>68</v>
      </c>
      <c r="I26" s="2">
        <v>6000</v>
      </c>
    </row>
    <row r="27" spans="1:17" x14ac:dyDescent="0.25">
      <c r="A27" s="4">
        <v>45620</v>
      </c>
      <c r="B27" t="s">
        <v>44</v>
      </c>
      <c r="C27" t="s">
        <v>19</v>
      </c>
      <c r="D27">
        <v>0</v>
      </c>
      <c r="E27">
        <v>1</v>
      </c>
      <c r="F27">
        <v>0.5</v>
      </c>
      <c r="G27">
        <v>1.3</v>
      </c>
      <c r="H27">
        <v>59</v>
      </c>
      <c r="I27" s="2">
        <v>50719</v>
      </c>
    </row>
    <row r="28" spans="1:17" x14ac:dyDescent="0.25">
      <c r="A28" s="4">
        <v>45624</v>
      </c>
      <c r="B28" t="s">
        <v>43</v>
      </c>
      <c r="C28" t="s">
        <v>18</v>
      </c>
      <c r="D28">
        <v>2</v>
      </c>
      <c r="E28">
        <v>0</v>
      </c>
      <c r="F28">
        <v>1.8</v>
      </c>
      <c r="G28">
        <v>0.7</v>
      </c>
      <c r="H28">
        <v>53</v>
      </c>
      <c r="P28" s="1"/>
      <c r="Q28" s="1"/>
    </row>
    <row r="29" spans="1:17" x14ac:dyDescent="0.25">
      <c r="A29" s="4">
        <v>45627</v>
      </c>
      <c r="B2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Last 36 Seasons</vt:lpstr>
      <vt:lpstr>Logistic Results</vt:lpstr>
      <vt:lpstr>All Teams</vt:lpstr>
      <vt:lpstr>Val 2014-15</vt:lpstr>
      <vt:lpstr>Val 2015-16</vt:lpstr>
      <vt:lpstr>Val 2016-17</vt:lpstr>
      <vt:lpstr>Val 2017-18</vt:lpstr>
      <vt:lpstr>Val 2018-19</vt:lpstr>
      <vt:lpstr>Val 2019-20</vt:lpstr>
      <vt:lpstr>Val 2020-21</vt:lpstr>
      <vt:lpstr>Val 2021-22</vt:lpstr>
      <vt:lpstr>Val 2022-23</vt:lpstr>
      <vt:lpstr>Val 2023-24</vt:lpstr>
      <vt:lpstr>Val 2024-25</vt:lpstr>
      <vt:lpstr>Sevilla 17-18</vt:lpstr>
      <vt:lpstr>Sevilla 18-19</vt:lpstr>
      <vt:lpstr>Sevilla 19-20</vt:lpstr>
      <vt:lpstr>Sevilla 20-21</vt:lpstr>
      <vt:lpstr>Sevilla 21-22</vt:lpstr>
      <vt:lpstr>Sevilla 22-23</vt:lpstr>
      <vt:lpstr>Sevilla 23-24</vt:lpstr>
      <vt:lpstr>Sevilla 24-25</vt:lpstr>
      <vt:lpstr>EF 17-18</vt:lpstr>
      <vt:lpstr>EF 18-19</vt:lpstr>
      <vt:lpstr>EF 19-20</vt:lpstr>
      <vt:lpstr>EF 20-21</vt:lpstr>
      <vt:lpstr>EF 21-22</vt:lpstr>
      <vt:lpstr>EF 22-23</vt:lpstr>
      <vt:lpstr>EF 23-24</vt:lpstr>
      <vt:lpstr>EF 24-25</vt:lpstr>
      <vt:lpstr>Lille 17-18</vt:lpstr>
      <vt:lpstr>Lille 18-19</vt:lpstr>
      <vt:lpstr>Lille 19-20</vt:lpstr>
      <vt:lpstr>Lille 20-21</vt:lpstr>
      <vt:lpstr>Lille 21-22</vt:lpstr>
      <vt:lpstr>Lille 22-23</vt:lpstr>
      <vt:lpstr>Lille 23-24</vt:lpstr>
      <vt:lpstr>Lille 24-25</vt:lpstr>
      <vt:lpstr>RS 2017-18</vt:lpstr>
      <vt:lpstr>RS 2018-24</vt:lpstr>
      <vt:lpstr>RS 2019-20</vt:lpstr>
      <vt:lpstr>RS 2020-21</vt:lpstr>
      <vt:lpstr>RS 2021-22</vt:lpstr>
      <vt:lpstr>RS 2022-23</vt:lpstr>
      <vt:lpstr>RS 2023-24</vt:lpstr>
      <vt:lpstr>RS 2024-25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Rosado</dc:creator>
  <cp:lastModifiedBy>Luis Rosado</cp:lastModifiedBy>
  <dcterms:created xsi:type="dcterms:W3CDTF">2024-11-13T01:28:15Z</dcterms:created>
  <dcterms:modified xsi:type="dcterms:W3CDTF">2026-03-19T03:56:16Z</dcterms:modified>
</cp:coreProperties>
</file>